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00292\Documents\99_hasejan\塩尻期記録表\2025年\"/>
    </mc:Choice>
  </mc:AlternateContent>
  <xr:revisionPtr revIDLastSave="9" documentId="13_ncr:1_{FCB0067C-7E2B-4D68-BFAB-A1A8A2DC5B55}" xr6:coauthVersionLast="47" xr6:coauthVersionMax="47" xr10:uidLastSave="{BCAB5BCE-8F05-4434-85D2-05C79EA0CCFB}"/>
  <bookViews>
    <workbookView xWindow="-108" yWindow="-108" windowWidth="23256" windowHeight="12456" xr2:uid="{9C436923-6501-4C34-8B5F-979B0F8B7AAA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6" i="1" l="1"/>
  <c r="AY7" i="1"/>
  <c r="AC37" i="1"/>
  <c r="AE37" i="1"/>
  <c r="AG37" i="1"/>
  <c r="AI37" i="1"/>
  <c r="AK37" i="1"/>
  <c r="AM37" i="1"/>
  <c r="AO37" i="1"/>
  <c r="AQ37" i="1"/>
  <c r="AS37" i="1"/>
  <c r="AU37" i="1"/>
  <c r="AW37" i="1"/>
  <c r="AY37" i="1"/>
  <c r="AY5" i="1"/>
  <c r="AY4" i="1"/>
  <c r="AY3" i="1"/>
  <c r="AY2" i="1"/>
  <c r="AY9" i="1"/>
  <c r="AZ9" i="1"/>
  <c r="AY10" i="1"/>
  <c r="AZ10" i="1"/>
  <c r="AY11" i="1"/>
  <c r="AZ11" i="1"/>
  <c r="AY12" i="1"/>
  <c r="AZ12" i="1"/>
  <c r="AY13" i="1"/>
  <c r="AZ13" i="1"/>
  <c r="AY14" i="1"/>
  <c r="AZ14" i="1"/>
  <c r="AY15" i="1"/>
  <c r="AZ15" i="1"/>
  <c r="AY16" i="1"/>
  <c r="AZ16" i="1"/>
  <c r="AY17" i="1"/>
  <c r="AZ17" i="1"/>
  <c r="AY18" i="1"/>
  <c r="AZ18" i="1"/>
  <c r="AY19" i="1"/>
  <c r="AZ19" i="1"/>
  <c r="AY20" i="1"/>
  <c r="AZ20" i="1"/>
  <c r="AY21" i="1"/>
  <c r="AZ21" i="1"/>
  <c r="AY22" i="1"/>
  <c r="AZ22" i="1"/>
  <c r="AY23" i="1"/>
  <c r="AZ23" i="1"/>
  <c r="AY24" i="1"/>
  <c r="AZ24" i="1"/>
  <c r="AY25" i="1"/>
  <c r="AZ25" i="1"/>
  <c r="AY26" i="1"/>
  <c r="AZ26" i="1"/>
  <c r="AY27" i="1"/>
  <c r="AZ27" i="1"/>
  <c r="AY28" i="1"/>
  <c r="AZ28" i="1"/>
  <c r="AY29" i="1"/>
  <c r="AZ29" i="1"/>
  <c r="AY30" i="1"/>
  <c r="AZ30" i="1"/>
  <c r="AY31" i="1"/>
  <c r="AZ31" i="1"/>
  <c r="AY32" i="1"/>
  <c r="AZ32" i="1"/>
  <c r="AY33" i="1"/>
  <c r="AZ33" i="1"/>
  <c r="AY34" i="1"/>
  <c r="AZ34" i="1"/>
  <c r="AZ8" i="1"/>
  <c r="AY8" i="1"/>
  <c r="AW9" i="1"/>
  <c r="AX9" i="1"/>
  <c r="AW10" i="1"/>
  <c r="AX10" i="1"/>
  <c r="AW11" i="1"/>
  <c r="AX11" i="1"/>
  <c r="AW12" i="1"/>
  <c r="AX12" i="1"/>
  <c r="AW13" i="1"/>
  <c r="AX13" i="1"/>
  <c r="AW14" i="1"/>
  <c r="AX14" i="1"/>
  <c r="AW15" i="1"/>
  <c r="AX15" i="1"/>
  <c r="AW16" i="1"/>
  <c r="AX16" i="1"/>
  <c r="AW17" i="1"/>
  <c r="AX17" i="1"/>
  <c r="AW18" i="1"/>
  <c r="AX18" i="1"/>
  <c r="AW19" i="1"/>
  <c r="AX19" i="1"/>
  <c r="AW20" i="1"/>
  <c r="AX20" i="1"/>
  <c r="AW21" i="1"/>
  <c r="AX21" i="1"/>
  <c r="AW22" i="1"/>
  <c r="AX22" i="1"/>
  <c r="AW23" i="1"/>
  <c r="AX23" i="1"/>
  <c r="AW24" i="1"/>
  <c r="AX24" i="1"/>
  <c r="AW25" i="1"/>
  <c r="AX25" i="1"/>
  <c r="AW26" i="1"/>
  <c r="AX26" i="1"/>
  <c r="AW27" i="1"/>
  <c r="AX27" i="1"/>
  <c r="AW28" i="1"/>
  <c r="AX28" i="1"/>
  <c r="AW29" i="1"/>
  <c r="AX29" i="1"/>
  <c r="AW30" i="1"/>
  <c r="AX30" i="1"/>
  <c r="AW31" i="1"/>
  <c r="AX31" i="1"/>
  <c r="AW32" i="1"/>
  <c r="AX32" i="1"/>
  <c r="AW33" i="1"/>
  <c r="AX33" i="1"/>
  <c r="AW34" i="1"/>
  <c r="AX34" i="1"/>
  <c r="AX8" i="1"/>
  <c r="AW8" i="1"/>
  <c r="Y3" i="1"/>
  <c r="X3" i="1"/>
  <c r="AY6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Y36" i="1" l="1"/>
  <c r="AZ6" i="1"/>
  <c r="AZ5" i="1"/>
  <c r="AZ3" i="1"/>
  <c r="AZ4" i="1"/>
  <c r="AZ2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C2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C23" i="1" l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" i="1" l="1"/>
  <c r="AM2" i="1"/>
  <c r="AW6" i="1" l="1"/>
  <c r="AW5" i="1"/>
  <c r="AW4" i="1"/>
  <c r="AW3" i="1"/>
  <c r="W3" i="1"/>
  <c r="V3" i="1"/>
  <c r="AV22" i="1"/>
  <c r="AU22" i="1"/>
  <c r="AV21" i="1"/>
  <c r="AU21" i="1"/>
  <c r="AV20" i="1"/>
  <c r="AU20" i="1"/>
  <c r="AV19" i="1"/>
  <c r="AU19" i="1"/>
  <c r="AV18" i="1"/>
  <c r="AU18" i="1"/>
  <c r="AV17" i="1"/>
  <c r="AU17" i="1"/>
  <c r="AV16" i="1"/>
  <c r="AU16" i="1"/>
  <c r="AV15" i="1"/>
  <c r="AU15" i="1"/>
  <c r="AV14" i="1"/>
  <c r="AU14" i="1"/>
  <c r="AV13" i="1"/>
  <c r="AU13" i="1"/>
  <c r="AV12" i="1"/>
  <c r="AU12" i="1"/>
  <c r="AV11" i="1"/>
  <c r="AU11" i="1"/>
  <c r="AV10" i="1"/>
  <c r="AU10" i="1"/>
  <c r="AV9" i="1"/>
  <c r="AU9" i="1"/>
  <c r="AV8" i="1"/>
  <c r="AU8" i="1"/>
  <c r="AU6" i="1"/>
  <c r="AU5" i="1"/>
  <c r="AU4" i="1"/>
  <c r="AU3" i="1"/>
  <c r="AU2" i="1"/>
  <c r="AW36" i="1" l="1"/>
  <c r="AX3" i="1"/>
  <c r="AX4" i="1"/>
  <c r="AX5" i="1"/>
  <c r="AX2" i="1"/>
  <c r="AX6" i="1"/>
  <c r="AW7" i="1"/>
  <c r="AV6" i="1"/>
  <c r="AV3" i="1"/>
  <c r="AV4" i="1"/>
  <c r="AV5" i="1"/>
  <c r="AV2" i="1"/>
  <c r="AU36" i="1"/>
  <c r="U3" i="1"/>
  <c r="T3" i="1"/>
  <c r="AU7" i="1" l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C15" i="1" l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T14" i="1"/>
  <c r="AS14" i="1"/>
  <c r="AT13" i="1"/>
  <c r="AS13" i="1"/>
  <c r="AT12" i="1"/>
  <c r="AS12" i="1"/>
  <c r="AT11" i="1"/>
  <c r="AS11" i="1"/>
  <c r="AT10" i="1"/>
  <c r="AS10" i="1"/>
  <c r="AT9" i="1"/>
  <c r="AS9" i="1"/>
  <c r="AT8" i="1"/>
  <c r="AS8" i="1"/>
  <c r="AS6" i="1"/>
  <c r="AS5" i="1"/>
  <c r="AS4" i="1"/>
  <c r="AS3" i="1"/>
  <c r="AS2" i="1"/>
  <c r="AR14" i="1"/>
  <c r="AQ14" i="1"/>
  <c r="AR13" i="1"/>
  <c r="AQ13" i="1"/>
  <c r="AR12" i="1"/>
  <c r="AQ12" i="1"/>
  <c r="AR11" i="1"/>
  <c r="AQ11" i="1"/>
  <c r="AR10" i="1"/>
  <c r="AQ10" i="1"/>
  <c r="AR9" i="1"/>
  <c r="AQ9" i="1"/>
  <c r="AR8" i="1"/>
  <c r="AQ8" i="1"/>
  <c r="AQ6" i="1"/>
  <c r="AQ5" i="1"/>
  <c r="AQ4" i="1"/>
  <c r="AQ3" i="1"/>
  <c r="AQ2" i="1"/>
  <c r="AP14" i="1"/>
  <c r="AO14" i="1"/>
  <c r="AP13" i="1"/>
  <c r="AO13" i="1"/>
  <c r="AP12" i="1"/>
  <c r="AO12" i="1"/>
  <c r="AP11" i="1"/>
  <c r="AO11" i="1"/>
  <c r="AP10" i="1"/>
  <c r="AO10" i="1"/>
  <c r="AP9" i="1"/>
  <c r="AO9" i="1"/>
  <c r="AP8" i="1"/>
  <c r="AO8" i="1"/>
  <c r="AO6" i="1"/>
  <c r="AO5" i="1"/>
  <c r="AO4" i="1"/>
  <c r="AO3" i="1"/>
  <c r="AO2" i="1"/>
  <c r="AS36" i="1" l="1"/>
  <c r="AO36" i="1"/>
  <c r="AQ36" i="1"/>
  <c r="AP3" i="1"/>
  <c r="AT6" i="1"/>
  <c r="AP2" i="1"/>
  <c r="AT4" i="1"/>
  <c r="AP4" i="1"/>
  <c r="AP5" i="1"/>
  <c r="AP6" i="1"/>
  <c r="AT3" i="1"/>
  <c r="AR2" i="1"/>
  <c r="AR3" i="1"/>
  <c r="AR4" i="1"/>
  <c r="AR5" i="1"/>
  <c r="AR6" i="1"/>
  <c r="AT2" i="1"/>
  <c r="AT5" i="1"/>
  <c r="S3" i="1" l="1"/>
  <c r="R3" i="1"/>
  <c r="AS7" i="1" l="1"/>
  <c r="Q3" i="1"/>
  <c r="P3" i="1"/>
  <c r="AQ7" i="1" l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O3" i="1" l="1"/>
  <c r="N3" i="1"/>
  <c r="AO7" i="1" l="1"/>
  <c r="AN11" i="1"/>
  <c r="AM11" i="1"/>
  <c r="AN10" i="1"/>
  <c r="AM10" i="1"/>
  <c r="AN9" i="1"/>
  <c r="AM9" i="1"/>
  <c r="AN8" i="1"/>
  <c r="AM8" i="1"/>
  <c r="AM6" i="1"/>
  <c r="AM5" i="1"/>
  <c r="AM4" i="1"/>
  <c r="AM3" i="1"/>
  <c r="AC11" i="1"/>
  <c r="AD11" i="1"/>
  <c r="AE11" i="1"/>
  <c r="AF11" i="1"/>
  <c r="AG11" i="1"/>
  <c r="AH11" i="1"/>
  <c r="AI11" i="1"/>
  <c r="AJ11" i="1"/>
  <c r="AK11" i="1"/>
  <c r="AL11" i="1"/>
  <c r="M3" i="1"/>
  <c r="L3" i="1"/>
  <c r="AK6" i="1"/>
  <c r="K3" i="1"/>
  <c r="J3" i="1"/>
  <c r="AK2" i="1"/>
  <c r="AK3" i="1"/>
  <c r="AK4" i="1"/>
  <c r="AK5" i="1"/>
  <c r="AK8" i="1"/>
  <c r="AL8" i="1"/>
  <c r="AK9" i="1"/>
  <c r="AL9" i="1"/>
  <c r="AK10" i="1"/>
  <c r="AL10" i="1"/>
  <c r="AC10" i="1"/>
  <c r="AD10" i="1"/>
  <c r="AE10" i="1"/>
  <c r="AF10" i="1"/>
  <c r="AG10" i="1"/>
  <c r="AH10" i="1"/>
  <c r="AI10" i="1"/>
  <c r="AJ10" i="1"/>
  <c r="AE2" i="1"/>
  <c r="AE3" i="1"/>
  <c r="AE4" i="1"/>
  <c r="AE5" i="1"/>
  <c r="AE6" i="1"/>
  <c r="AG2" i="1"/>
  <c r="AG3" i="1"/>
  <c r="AG4" i="1"/>
  <c r="AG5" i="1"/>
  <c r="AG6" i="1"/>
  <c r="AI2" i="1"/>
  <c r="AI3" i="1"/>
  <c r="AI4" i="1"/>
  <c r="AI5" i="1"/>
  <c r="AI6" i="1"/>
  <c r="AC6" i="1"/>
  <c r="AC5" i="1"/>
  <c r="AC4" i="1"/>
  <c r="AC3" i="1"/>
  <c r="AE8" i="1"/>
  <c r="AF8" i="1"/>
  <c r="AG8" i="1"/>
  <c r="AH8" i="1"/>
  <c r="AI8" i="1"/>
  <c r="AJ8" i="1"/>
  <c r="AE9" i="1"/>
  <c r="AF9" i="1"/>
  <c r="AG9" i="1"/>
  <c r="AH9" i="1"/>
  <c r="AI9" i="1"/>
  <c r="AJ9" i="1"/>
  <c r="AD9" i="1"/>
  <c r="AC9" i="1"/>
  <c r="AC8" i="1"/>
  <c r="AD8" i="1"/>
  <c r="C3" i="1"/>
  <c r="D3" i="1"/>
  <c r="E3" i="1"/>
  <c r="F3" i="1"/>
  <c r="G3" i="1"/>
  <c r="H3" i="1"/>
  <c r="I3" i="1"/>
  <c r="AM36" i="1" l="1"/>
  <c r="AM7" i="1"/>
  <c r="AI36" i="1"/>
  <c r="AE36" i="1"/>
  <c r="AG36" i="1"/>
  <c r="AC36" i="1"/>
  <c r="AK7" i="1"/>
  <c r="AN6" i="1"/>
  <c r="AJ6" i="1"/>
  <c r="AN2" i="1"/>
  <c r="AH3" i="1"/>
  <c r="AF3" i="1"/>
  <c r="AN4" i="1"/>
  <c r="AN3" i="1"/>
  <c r="AN5" i="1"/>
  <c r="AJ2" i="1"/>
  <c r="AF2" i="1"/>
  <c r="AF6" i="1"/>
  <c r="AJ5" i="1"/>
  <c r="AF5" i="1"/>
  <c r="AF4" i="1"/>
  <c r="AL2" i="1"/>
  <c r="AJ4" i="1"/>
  <c r="AL6" i="1"/>
  <c r="AL3" i="1"/>
  <c r="AL5" i="1"/>
  <c r="AL4" i="1"/>
  <c r="AH2" i="1"/>
  <c r="AJ3" i="1"/>
  <c r="AH6" i="1"/>
  <c r="AH5" i="1"/>
  <c r="AH4" i="1"/>
  <c r="AE7" i="1"/>
  <c r="AD4" i="1"/>
  <c r="AD6" i="1"/>
  <c r="AD3" i="1"/>
  <c r="AD5" i="1"/>
  <c r="AG7" i="1"/>
  <c r="AD2" i="1"/>
  <c r="AI7" i="1"/>
  <c r="B3" i="1"/>
  <c r="AC7" i="1" s="1"/>
</calcChain>
</file>

<file path=xl/sharedStrings.xml><?xml version="1.0" encoding="utf-8"?>
<sst xmlns="http://schemas.openxmlformats.org/spreadsheetml/2006/main" count="62" uniqueCount="31">
  <si>
    <t>名前</t>
    <rPh sb="0" eb="2">
      <t>ナマエ</t>
    </rPh>
    <phoneticPr fontId="3"/>
  </si>
  <si>
    <t>長谷川</t>
    <rPh sb="0" eb="3">
      <t>ハセガワ</t>
    </rPh>
    <phoneticPr fontId="3"/>
  </si>
  <si>
    <t>庄司</t>
    <rPh sb="0" eb="2">
      <t>ショウジ</t>
    </rPh>
    <phoneticPr fontId="3"/>
  </si>
  <si>
    <t>高橋</t>
    <rPh sb="0" eb="2">
      <t>タカハシ</t>
    </rPh>
    <phoneticPr fontId="3"/>
  </si>
  <si>
    <t>竹内</t>
    <rPh sb="0" eb="2">
      <t>タケウチ</t>
    </rPh>
    <phoneticPr fontId="3"/>
  </si>
  <si>
    <t>塩原</t>
    <rPh sb="0" eb="2">
      <t>シオハラ</t>
    </rPh>
    <phoneticPr fontId="3"/>
  </si>
  <si>
    <t>上原</t>
    <rPh sb="0" eb="2">
      <t>ウ</t>
    </rPh>
    <phoneticPr fontId="3"/>
  </si>
  <si>
    <t>吉江</t>
    <rPh sb="0" eb="2">
      <t>ヨシエ</t>
    </rPh>
    <phoneticPr fontId="3"/>
  </si>
  <si>
    <t>池本</t>
    <rPh sb="0" eb="2">
      <t>イケモ</t>
    </rPh>
    <phoneticPr fontId="3"/>
  </si>
  <si>
    <t>山口</t>
    <rPh sb="0" eb="2">
      <t>ヤマグチ</t>
    </rPh>
    <phoneticPr fontId="3"/>
  </si>
  <si>
    <t>小寺</t>
    <rPh sb="0" eb="2">
      <t>コデラ</t>
    </rPh>
    <phoneticPr fontId="3"/>
  </si>
  <si>
    <t>中田</t>
    <rPh sb="0" eb="2">
      <t>ナカタ</t>
    </rPh>
    <phoneticPr fontId="3"/>
  </si>
  <si>
    <t>野村</t>
    <rPh sb="0" eb="2">
      <t>ノ</t>
    </rPh>
    <phoneticPr fontId="3"/>
  </si>
  <si>
    <t>塩原</t>
    <rPh sb="0" eb="2">
      <t>シオ</t>
    </rPh>
    <phoneticPr fontId="3"/>
  </si>
  <si>
    <t>上原</t>
    <rPh sb="0" eb="2">
      <t>ウエハラ</t>
    </rPh>
    <phoneticPr fontId="3"/>
  </si>
  <si>
    <t>野村</t>
    <rPh sb="0" eb="2">
      <t>ノムラ</t>
    </rPh>
    <phoneticPr fontId="3"/>
  </si>
  <si>
    <t>半荘</t>
    <rPh sb="0" eb="2">
      <t>ハンチャン</t>
    </rPh>
    <phoneticPr fontId="3"/>
  </si>
  <si>
    <t>点数</t>
    <rPh sb="0" eb="2">
      <t>テンスウ</t>
    </rPh>
    <phoneticPr fontId="3"/>
  </si>
  <si>
    <t>馬</t>
    <rPh sb="0" eb="1">
      <t>ウマ</t>
    </rPh>
    <phoneticPr fontId="3"/>
  </si>
  <si>
    <t>順位回数</t>
    <rPh sb="0" eb="2">
      <t>ジュンイ</t>
    </rPh>
    <rPh sb="2" eb="4">
      <t>カイスウ</t>
    </rPh>
    <phoneticPr fontId="3"/>
  </si>
  <si>
    <t>1位</t>
    <rPh sb="1" eb="2">
      <t>イ</t>
    </rPh>
    <phoneticPr fontId="3"/>
  </si>
  <si>
    <t>合計</t>
    <rPh sb="0" eb="2">
      <t>ゴウケイ</t>
    </rPh>
    <phoneticPr fontId="3"/>
  </si>
  <si>
    <t>2位</t>
    <rPh sb="1" eb="2">
      <t>イ</t>
    </rPh>
    <phoneticPr fontId="3"/>
  </si>
  <si>
    <t>3位</t>
    <rPh sb="1" eb="2">
      <t>イ</t>
    </rPh>
    <phoneticPr fontId="3"/>
  </si>
  <si>
    <t>4位</t>
    <rPh sb="1" eb="2">
      <t>イ</t>
    </rPh>
    <phoneticPr fontId="3"/>
  </si>
  <si>
    <t>ハコテン</t>
    <phoneticPr fontId="3"/>
  </si>
  <si>
    <t>総得点</t>
    <rPh sb="0" eb="1">
      <t>ソウ</t>
    </rPh>
    <rPh sb="1" eb="3">
      <t>トクテン</t>
    </rPh>
    <phoneticPr fontId="3"/>
  </si>
  <si>
    <t>日別</t>
    <rPh sb="0" eb="2">
      <t>ヒベツ</t>
    </rPh>
    <phoneticPr fontId="3"/>
  </si>
  <si>
    <t>Mリーグ的ポイント付け</t>
    <rPh sb="4" eb="5">
      <t>テキ</t>
    </rPh>
    <rPh sb="9" eb="10">
      <t>ツ</t>
    </rPh>
    <phoneticPr fontId="3"/>
  </si>
  <si>
    <t>順位点</t>
    <rPh sb="0" eb="2">
      <t>ジュンイ</t>
    </rPh>
    <rPh sb="2" eb="3">
      <t>テン</t>
    </rPh>
    <phoneticPr fontId="3"/>
  </si>
  <si>
    <t>ポイントランキング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</si>
</sst>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0_);[Red]\(0\)"/>
  </numFmts>
  <fonts count="8">
    <font>
      <sz val="11"/>
      <color theme="1"/>
      <name val="BIZ UDPゴシック"/>
      <family val="2"/>
      <charset val="128"/>
    </font>
    <font>
      <sz val="11"/>
      <color theme="1"/>
      <name val="BIZ UDPゴシック"/>
      <family val="2"/>
      <charset val="128"/>
    </font>
    <font>
      <sz val="6"/>
      <name val="BIZ UDPゴシック"/>
      <family val="2"/>
      <charset val="128"/>
    </font>
    <font>
      <sz val="6"/>
      <name val="Meiryo UI"/>
      <family val="2"/>
      <charset val="128"/>
    </font>
    <font>
      <sz val="10"/>
      <color rgb="FFC00000"/>
      <name val="Meiryo UI"/>
      <family val="2"/>
      <charset val="128"/>
    </font>
    <font>
      <sz val="10"/>
      <color rgb="FF0070C0"/>
      <name val="Meiryo UI"/>
      <family val="2"/>
      <charset val="128"/>
    </font>
    <font>
      <sz val="11"/>
      <color rgb="FFC00000"/>
      <name val="BIZ UDPゴシック"/>
      <family val="3"/>
      <charset val="128"/>
    </font>
    <font>
      <sz val="10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40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5" fillId="0" borderId="7" xfId="0" applyFont="1" applyBorder="1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right" vertical="center"/>
    </xf>
    <xf numFmtId="176" fontId="0" fillId="0" borderId="8" xfId="0" applyNumberFormat="1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1" xfId="0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Continuous" vertical="center"/>
    </xf>
    <xf numFmtId="0" fontId="6" fillId="0" borderId="1" xfId="0" applyFont="1" applyBorder="1" applyAlignment="1">
      <alignment horizontal="centerContinuous" vertical="center"/>
    </xf>
    <xf numFmtId="176" fontId="0" fillId="0" borderId="0" xfId="0" applyNumberFormat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176" fontId="0" fillId="0" borderId="20" xfId="0" applyNumberForma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パーセント" xfId="1" builtinId="5"/>
    <cellStyle name="標準" xfId="0" builtinId="0"/>
    <cellStyle name="標準 2" xfId="2" xr:uid="{982D8A99-7198-40EC-9112-20C521074C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B0C6-CA1D-4E05-A1DE-23E41D2B0B48}">
  <dimension ref="A1:AZ191"/>
  <sheetViews>
    <sheetView tabSelected="1" zoomScale="53" zoomScaleNormal="70" workbookViewId="0">
      <pane ySplit="1" topLeftCell="Y2" activePane="bottomLeft" state="frozen"/>
      <selection pane="bottomLeft" activeCell="AK37" sqref="AK37"/>
    </sheetView>
  </sheetViews>
  <sheetFormatPr defaultColWidth="7" defaultRowHeight="17.45" customHeight="1"/>
  <cols>
    <col min="1" max="1" width="10.28515625" style="7" customWidth="1"/>
  </cols>
  <sheetData>
    <row r="1" spans="1:52" ht="27.6" customHeight="1">
      <c r="A1" s="8" t="s">
        <v>0</v>
      </c>
      <c r="B1" s="37" t="s">
        <v>1</v>
      </c>
      <c r="C1" s="38"/>
      <c r="D1" s="37" t="s">
        <v>2</v>
      </c>
      <c r="E1" s="38"/>
      <c r="F1" s="37" t="s">
        <v>3</v>
      </c>
      <c r="G1" s="38"/>
      <c r="H1" s="37" t="s">
        <v>4</v>
      </c>
      <c r="I1" s="38"/>
      <c r="J1" s="37" t="s">
        <v>5</v>
      </c>
      <c r="K1" s="38"/>
      <c r="L1" s="37" t="s">
        <v>6</v>
      </c>
      <c r="M1" s="38"/>
      <c r="N1" s="37" t="s">
        <v>7</v>
      </c>
      <c r="O1" s="38"/>
      <c r="P1" s="37" t="s">
        <v>8</v>
      </c>
      <c r="Q1" s="38"/>
      <c r="R1" s="37" t="s">
        <v>9</v>
      </c>
      <c r="S1" s="38"/>
      <c r="T1" s="37" t="s">
        <v>10</v>
      </c>
      <c r="U1" s="38"/>
      <c r="V1" s="37" t="s">
        <v>11</v>
      </c>
      <c r="W1" s="38"/>
      <c r="X1" s="37" t="s">
        <v>12</v>
      </c>
      <c r="Y1" s="38"/>
      <c r="AC1" s="37" t="s">
        <v>1</v>
      </c>
      <c r="AD1" s="38"/>
      <c r="AE1" s="37" t="s">
        <v>2</v>
      </c>
      <c r="AF1" s="38"/>
      <c r="AG1" s="37" t="s">
        <v>3</v>
      </c>
      <c r="AH1" s="38"/>
      <c r="AI1" s="37" t="s">
        <v>4</v>
      </c>
      <c r="AJ1" s="38"/>
      <c r="AK1" s="37" t="s">
        <v>13</v>
      </c>
      <c r="AL1" s="38"/>
      <c r="AM1" s="37" t="s">
        <v>14</v>
      </c>
      <c r="AN1" s="38"/>
      <c r="AO1" s="37" t="s">
        <v>7</v>
      </c>
      <c r="AP1" s="38"/>
      <c r="AQ1" s="37" t="s">
        <v>8</v>
      </c>
      <c r="AR1" s="38"/>
      <c r="AS1" s="37" t="s">
        <v>9</v>
      </c>
      <c r="AT1" s="38"/>
      <c r="AU1" s="37" t="s">
        <v>10</v>
      </c>
      <c r="AV1" s="38"/>
      <c r="AW1" s="37" t="s">
        <v>11</v>
      </c>
      <c r="AX1" s="38"/>
      <c r="AY1" s="37" t="s">
        <v>15</v>
      </c>
      <c r="AZ1" s="38"/>
    </row>
    <row r="2" spans="1:52" ht="21" customHeight="1">
      <c r="A2" s="8" t="s">
        <v>16</v>
      </c>
      <c r="B2" s="1" t="s">
        <v>17</v>
      </c>
      <c r="C2" s="2" t="s">
        <v>18</v>
      </c>
      <c r="D2" s="1" t="s">
        <v>17</v>
      </c>
      <c r="E2" s="2" t="s">
        <v>18</v>
      </c>
      <c r="F2" s="1" t="s">
        <v>17</v>
      </c>
      <c r="G2" s="2" t="s">
        <v>18</v>
      </c>
      <c r="H2" s="1" t="s">
        <v>17</v>
      </c>
      <c r="I2" s="2" t="s">
        <v>18</v>
      </c>
      <c r="J2" s="1" t="s">
        <v>17</v>
      </c>
      <c r="K2" s="2" t="s">
        <v>18</v>
      </c>
      <c r="L2" s="1" t="s">
        <v>17</v>
      </c>
      <c r="M2" s="2" t="s">
        <v>18</v>
      </c>
      <c r="N2" s="1" t="s">
        <v>17</v>
      </c>
      <c r="O2" s="2" t="s">
        <v>18</v>
      </c>
      <c r="P2" s="1" t="s">
        <v>17</v>
      </c>
      <c r="Q2" s="2" t="s">
        <v>18</v>
      </c>
      <c r="R2" s="1" t="s">
        <v>17</v>
      </c>
      <c r="S2" s="2" t="s">
        <v>18</v>
      </c>
      <c r="T2" s="1" t="s">
        <v>17</v>
      </c>
      <c r="U2" s="2" t="s">
        <v>18</v>
      </c>
      <c r="V2" s="1" t="s">
        <v>17</v>
      </c>
      <c r="W2" s="2" t="s">
        <v>18</v>
      </c>
      <c r="X2" s="1" t="s">
        <v>17</v>
      </c>
      <c r="Y2" s="2" t="s">
        <v>18</v>
      </c>
      <c r="AA2" s="20" t="s">
        <v>19</v>
      </c>
      <c r="AB2" s="23" t="s">
        <v>20</v>
      </c>
      <c r="AC2" s="12">
        <f>COUNTIF(C$4:C$1048576,10)</f>
        <v>33</v>
      </c>
      <c r="AD2" s="13">
        <f>AC2/SUM(AC$2:AC$5)</f>
        <v>0.19642857142857142</v>
      </c>
      <c r="AE2" s="12">
        <f>COUNTIF(E$4:E$1048576,10)</f>
        <v>0</v>
      </c>
      <c r="AF2" s="13" t="e">
        <f>AE2/SUM(AE$2:AE$5)</f>
        <v>#DIV/0!</v>
      </c>
      <c r="AG2" s="12">
        <f>COUNTIF(G$4:G$1048576,10)</f>
        <v>9</v>
      </c>
      <c r="AH2" s="13">
        <f>AG2/SUM(AG$2:AG$5)</f>
        <v>0.27272727272727271</v>
      </c>
      <c r="AI2" s="12">
        <f>COUNTIF(I$4:I$1048576,10)</f>
        <v>1</v>
      </c>
      <c r="AJ2" s="13">
        <f>AI2/SUM(AI$2:AI$5)</f>
        <v>0.14285714285714285</v>
      </c>
      <c r="AK2" s="12">
        <f>COUNTIF(K$4:K$1048576,10)</f>
        <v>47</v>
      </c>
      <c r="AL2" s="13">
        <f>AK2/SUM(AK$2:AK$5)</f>
        <v>0.25</v>
      </c>
      <c r="AM2" s="12">
        <f>COUNTIF(M$4:M$1048576,10)</f>
        <v>2</v>
      </c>
      <c r="AN2" s="13">
        <f>AM2/SUM(AM$2:AM$5)</f>
        <v>0.25</v>
      </c>
      <c r="AO2" s="12">
        <f>COUNTIF(O$4:O$1048576,10)</f>
        <v>7</v>
      </c>
      <c r="AP2" s="13">
        <f>AO2/SUM(AO$2:AO$5)</f>
        <v>0.2</v>
      </c>
      <c r="AQ2" s="12">
        <f>COUNTIF(Q$4:Q$1048576,10)</f>
        <v>44</v>
      </c>
      <c r="AR2" s="13">
        <f>AQ2/SUM(AQ$2:AQ$5)</f>
        <v>0.32835820895522388</v>
      </c>
      <c r="AS2" s="12">
        <f>COUNTIF(S$4:S$1048576,10)</f>
        <v>11</v>
      </c>
      <c r="AT2" s="13">
        <f>AS2/SUM(AS$2:AS$5)</f>
        <v>0.15942028985507245</v>
      </c>
      <c r="AU2" s="12">
        <f>COUNTIF(U$4:U$1048576,10)</f>
        <v>3</v>
      </c>
      <c r="AV2" s="13">
        <f>AU2/SUM(AU$2:AU$5)</f>
        <v>0.27272727272727271</v>
      </c>
      <c r="AW2" s="12">
        <f>COUNTIF(W$4:W$1048576,10)</f>
        <v>24</v>
      </c>
      <c r="AX2" s="13">
        <f>AW2/SUM(AW$2:AW$5)</f>
        <v>0.3</v>
      </c>
      <c r="AY2" s="12">
        <f>COUNTIF(Y$4:Y$1048576,10)</f>
        <v>6</v>
      </c>
      <c r="AZ2" s="13">
        <f>AY2/SUM(AY$2:AY$5)</f>
        <v>0.5</v>
      </c>
    </row>
    <row r="3" spans="1:52" ht="21" customHeight="1">
      <c r="A3" s="9" t="s">
        <v>21</v>
      </c>
      <c r="B3" s="1">
        <f t="shared" ref="B3:W3" si="0">SUM(B4:B1048576)</f>
        <v>-453</v>
      </c>
      <c r="C3" s="2">
        <f t="shared" si="0"/>
        <v>-215</v>
      </c>
      <c r="D3" s="1">
        <f t="shared" si="0"/>
        <v>0</v>
      </c>
      <c r="E3" s="2">
        <f t="shared" si="0"/>
        <v>0</v>
      </c>
      <c r="F3" s="1">
        <f t="shared" si="0"/>
        <v>29</v>
      </c>
      <c r="G3" s="2">
        <f t="shared" si="0"/>
        <v>20</v>
      </c>
      <c r="H3" s="1">
        <f t="shared" si="0"/>
        <v>-45</v>
      </c>
      <c r="I3" s="2">
        <f t="shared" si="0"/>
        <v>-5</v>
      </c>
      <c r="J3" s="1">
        <f t="shared" si="0"/>
        <v>-68</v>
      </c>
      <c r="K3" s="2">
        <f t="shared" si="0"/>
        <v>20</v>
      </c>
      <c r="L3" s="1">
        <f t="shared" si="0"/>
        <v>63</v>
      </c>
      <c r="M3" s="2">
        <f t="shared" si="0"/>
        <v>25</v>
      </c>
      <c r="N3" s="1">
        <f t="shared" si="0"/>
        <v>-173</v>
      </c>
      <c r="O3" s="2">
        <f t="shared" si="0"/>
        <v>-65</v>
      </c>
      <c r="P3" s="1">
        <f t="shared" si="0"/>
        <v>562</v>
      </c>
      <c r="Q3" s="2">
        <f t="shared" si="0"/>
        <v>140</v>
      </c>
      <c r="R3" s="1">
        <f t="shared" si="0"/>
        <v>-351</v>
      </c>
      <c r="S3" s="2">
        <f t="shared" si="0"/>
        <v>-110</v>
      </c>
      <c r="T3" s="1">
        <f t="shared" si="0"/>
        <v>56</v>
      </c>
      <c r="U3" s="2">
        <f t="shared" si="0"/>
        <v>30</v>
      </c>
      <c r="V3" s="1">
        <f t="shared" si="0"/>
        <v>330</v>
      </c>
      <c r="W3" s="2">
        <f t="shared" si="0"/>
        <v>125</v>
      </c>
      <c r="X3" s="1">
        <f t="shared" ref="X3" si="1">SUM(X4:X1048576)</f>
        <v>107</v>
      </c>
      <c r="Y3" s="2">
        <f t="shared" ref="Y3" si="2">SUM(Y4:Y1048576)</f>
        <v>40</v>
      </c>
      <c r="AA3" s="21"/>
      <c r="AB3" s="24" t="s">
        <v>22</v>
      </c>
      <c r="AC3" s="10">
        <f>COUNTIF(C$4:C$1048576,5)</f>
        <v>38</v>
      </c>
      <c r="AD3" s="11">
        <f>AC3/SUM(AC$2:AC$5)</f>
        <v>0.22619047619047619</v>
      </c>
      <c r="AE3" s="10">
        <f>COUNTIF(E$4:E$1048576,5)</f>
        <v>0</v>
      </c>
      <c r="AF3" s="11" t="e">
        <f>AE3/SUM(AE$2:AE$5)</f>
        <v>#DIV/0!</v>
      </c>
      <c r="AG3" s="10">
        <f>COUNTIF(G$4:G$1048576,5)</f>
        <v>9</v>
      </c>
      <c r="AH3" s="11">
        <f>AG3/SUM(AG$2:AG$5)</f>
        <v>0.27272727272727271</v>
      </c>
      <c r="AI3" s="10">
        <f>COUNTIF(I$4:I$1048576,5)</f>
        <v>2</v>
      </c>
      <c r="AJ3" s="11">
        <f>AI3/SUM(AI$2:AI$5)</f>
        <v>0.2857142857142857</v>
      </c>
      <c r="AK3" s="10">
        <f>COUNTIF(K$4:K$1048576,5)</f>
        <v>50</v>
      </c>
      <c r="AL3" s="11">
        <f>AK3/SUM(AK$2:AK$5)</f>
        <v>0.26595744680851063</v>
      </c>
      <c r="AM3" s="10">
        <f>COUNTIF(M$4:M$1048576,5)</f>
        <v>4</v>
      </c>
      <c r="AN3" s="11">
        <f>AM3/SUM(AM$2:AM$5)</f>
        <v>0.5</v>
      </c>
      <c r="AO3" s="10">
        <f>COUNTIF(O$4:O$1048576,5)</f>
        <v>7</v>
      </c>
      <c r="AP3" s="11">
        <f>AO3/SUM(AO$2:AO$5)</f>
        <v>0.2</v>
      </c>
      <c r="AQ3" s="10">
        <f>COUNTIF(Q$4:Q$1048576,5)</f>
        <v>30</v>
      </c>
      <c r="AR3" s="11">
        <f>AQ3/SUM(AQ$2:AQ$5)</f>
        <v>0.22388059701492538</v>
      </c>
      <c r="AS3" s="10">
        <f>COUNTIF(S$4:S$1048576,5)</f>
        <v>16</v>
      </c>
      <c r="AT3" s="11">
        <f>AS3/SUM(AS$2:AS$5)</f>
        <v>0.2318840579710145</v>
      </c>
      <c r="AU3" s="10">
        <f>COUNTIF(U$4:U$1048576,5)</f>
        <v>5</v>
      </c>
      <c r="AV3" s="11">
        <f>AU3/SUM(AU$2:AU$5)</f>
        <v>0.45454545454545453</v>
      </c>
      <c r="AW3" s="10">
        <f>COUNTIF(W$4:W$1048576,5)</f>
        <v>23</v>
      </c>
      <c r="AX3" s="11">
        <f>AW3/SUM(AW$2:AW$5)</f>
        <v>0.28749999999999998</v>
      </c>
      <c r="AY3" s="12">
        <f>COUNTIF(Y$4:Y$1048576,5)</f>
        <v>2</v>
      </c>
      <c r="AZ3" s="11">
        <f>AY3/SUM(AY$2:AY$5)</f>
        <v>0.16666666666666666</v>
      </c>
    </row>
    <row r="4" spans="1:52" ht="17.45" customHeight="1">
      <c r="A4" s="7">
        <v>45689</v>
      </c>
      <c r="B4" s="3">
        <v>2</v>
      </c>
      <c r="C4" s="4">
        <v>5</v>
      </c>
      <c r="F4" s="3">
        <v>-22</v>
      </c>
      <c r="G4" s="4">
        <v>-10</v>
      </c>
      <c r="J4" s="3">
        <v>20</v>
      </c>
      <c r="K4" s="4">
        <v>10</v>
      </c>
      <c r="P4" s="3">
        <v>0</v>
      </c>
      <c r="Q4" s="4">
        <v>-5</v>
      </c>
      <c r="AA4" s="21"/>
      <c r="AB4" s="24" t="s">
        <v>23</v>
      </c>
      <c r="AC4" s="10">
        <f>COUNTIF(C$4:C$1048576,-5)</f>
        <v>47</v>
      </c>
      <c r="AD4" s="11">
        <f>AC4/SUM(AC$2:AC$5)</f>
        <v>0.27976190476190477</v>
      </c>
      <c r="AE4" s="10">
        <f>COUNTIF(E$4:E$1048576,-5)</f>
        <v>0</v>
      </c>
      <c r="AF4" s="11" t="e">
        <f>AE4/SUM(AE$2:AE$5)</f>
        <v>#DIV/0!</v>
      </c>
      <c r="AG4" s="10">
        <f>COUNTIF(G$4:G$1048576,-5)</f>
        <v>7</v>
      </c>
      <c r="AH4" s="11">
        <f>AG4/SUM(AG$2:AG$5)</f>
        <v>0.21212121212121213</v>
      </c>
      <c r="AI4" s="10">
        <f>COUNTIF(I$4:I$1048576,-5)</f>
        <v>3</v>
      </c>
      <c r="AJ4" s="11">
        <f>AI4/SUM(AI$2:AI$5)</f>
        <v>0.42857142857142855</v>
      </c>
      <c r="AK4" s="10">
        <f>COUNTIF(K$4:K$1048576,-5)</f>
        <v>42</v>
      </c>
      <c r="AL4" s="11">
        <f>AK4/SUM(AK$2:AK$5)</f>
        <v>0.22340425531914893</v>
      </c>
      <c r="AM4" s="10">
        <f>COUNTIF(M$4:M$1048576,-5)</f>
        <v>1</v>
      </c>
      <c r="AN4" s="11">
        <f>AM4/SUM(AM$2:AM$5)</f>
        <v>0.125</v>
      </c>
      <c r="AO4" s="10">
        <f>COUNTIF(O$4:O$1048576,-5)</f>
        <v>8</v>
      </c>
      <c r="AP4" s="11">
        <f>AO4/SUM(AO$2:AO$5)</f>
        <v>0.22857142857142856</v>
      </c>
      <c r="AQ4" s="10">
        <f>COUNTIF(Q$4:Q$1048576,-5)</f>
        <v>30</v>
      </c>
      <c r="AR4" s="11">
        <f>AQ4/SUM(AQ$2:AQ$5)</f>
        <v>0.22388059701492538</v>
      </c>
      <c r="AS4" s="10">
        <f>COUNTIF(S$4:S$1048576,-5)</f>
        <v>24</v>
      </c>
      <c r="AT4" s="11">
        <f>AS4/SUM(AS$2:AS$5)</f>
        <v>0.34782608695652173</v>
      </c>
      <c r="AU4" s="10">
        <f>COUNTIF(U$4:U$1048576,-5)</f>
        <v>1</v>
      </c>
      <c r="AV4" s="11">
        <f>AU4/SUM(AU$2:AU$5)</f>
        <v>9.0909090909090912E-2</v>
      </c>
      <c r="AW4" s="10">
        <f>COUNTIF(W$4:W$1048576,-5)</f>
        <v>20</v>
      </c>
      <c r="AX4" s="11">
        <f>AW4/SUM(AW$2:AW$5)</f>
        <v>0.25</v>
      </c>
      <c r="AY4" s="12">
        <f>COUNTIF(Y$4:Y$1048576,-5)</f>
        <v>2</v>
      </c>
      <c r="AZ4" s="11">
        <f>AY4/SUM(AY$2:AY$5)</f>
        <v>0.16666666666666666</v>
      </c>
    </row>
    <row r="5" spans="1:52" ht="17.45" customHeight="1">
      <c r="A5" s="7">
        <v>45689</v>
      </c>
      <c r="B5" s="5">
        <v>-26</v>
      </c>
      <c r="C5" s="6">
        <v>-10</v>
      </c>
      <c r="F5" s="5">
        <v>40</v>
      </c>
      <c r="G5" s="6">
        <v>10</v>
      </c>
      <c r="J5" s="5">
        <v>-10</v>
      </c>
      <c r="K5" s="6">
        <v>-5</v>
      </c>
      <c r="P5" s="5">
        <v>-4</v>
      </c>
      <c r="Q5" s="6">
        <v>5</v>
      </c>
      <c r="AA5" s="21"/>
      <c r="AB5" s="25" t="s">
        <v>24</v>
      </c>
      <c r="AC5" s="16">
        <f>COUNTIF(C$4:C$1048576,-10)</f>
        <v>50</v>
      </c>
      <c r="AD5" s="17">
        <f>AC5/SUM(AC$2:AC$5)</f>
        <v>0.29761904761904762</v>
      </c>
      <c r="AE5" s="16">
        <f>COUNTIF(E$4:E$1048576,-10)</f>
        <v>0</v>
      </c>
      <c r="AF5" s="17" t="e">
        <f>AE5/SUM(AE$2:AE$5)</f>
        <v>#DIV/0!</v>
      </c>
      <c r="AG5" s="16">
        <f>COUNTIF(G$4:G$1048576,-10)</f>
        <v>8</v>
      </c>
      <c r="AH5" s="17">
        <f>AG5/SUM(AG$2:AG$5)</f>
        <v>0.24242424242424243</v>
      </c>
      <c r="AI5" s="16">
        <f>COUNTIF(I$4:I$1048576,-10)</f>
        <v>1</v>
      </c>
      <c r="AJ5" s="17">
        <f>AI5/SUM(AI$2:AI$5)</f>
        <v>0.14285714285714285</v>
      </c>
      <c r="AK5" s="16">
        <f>COUNTIF(K$4:K$1048576,-10)</f>
        <v>49</v>
      </c>
      <c r="AL5" s="17">
        <f>AK5/SUM(AK$2:AK$5)</f>
        <v>0.26063829787234044</v>
      </c>
      <c r="AM5" s="16">
        <f>COUNTIF(M$4:M$1048576,-10)</f>
        <v>1</v>
      </c>
      <c r="AN5" s="17">
        <f>AM5/SUM(AM$2:AM$5)</f>
        <v>0.125</v>
      </c>
      <c r="AO5" s="16">
        <f>COUNTIF(O$4:O$1048576,-10)</f>
        <v>13</v>
      </c>
      <c r="AP5" s="17">
        <f>AO5/SUM(AO$2:AO$5)</f>
        <v>0.37142857142857144</v>
      </c>
      <c r="AQ5" s="16">
        <f>COUNTIF(Q$4:Q$1048576,-10)</f>
        <v>30</v>
      </c>
      <c r="AR5" s="17">
        <f>AQ5/SUM(AQ$2:AQ$5)</f>
        <v>0.22388059701492538</v>
      </c>
      <c r="AS5" s="16">
        <f>COUNTIF(S$4:S$1048576,-10)</f>
        <v>18</v>
      </c>
      <c r="AT5" s="17">
        <f>AS5/SUM(AS$2:AS$5)</f>
        <v>0.2608695652173913</v>
      </c>
      <c r="AU5" s="16">
        <f>COUNTIF(U$4:U$1048576,-10)</f>
        <v>2</v>
      </c>
      <c r="AV5" s="17">
        <f>AU5/SUM(AU$2:AU$5)</f>
        <v>0.18181818181818182</v>
      </c>
      <c r="AW5" s="16">
        <f>COUNTIF(W$4:W$1048576,-10)</f>
        <v>13</v>
      </c>
      <c r="AX5" s="17">
        <f>AW5/SUM(AW$2:AW$5)</f>
        <v>0.16250000000000001</v>
      </c>
      <c r="AY5" s="12">
        <f>COUNTIF(Y$4:Y$1048576,-10)</f>
        <v>2</v>
      </c>
      <c r="AZ5" s="17">
        <f>AY5/SUM(AY$2:AY$5)</f>
        <v>0.16666666666666666</v>
      </c>
    </row>
    <row r="6" spans="1:52" ht="17.45" customHeight="1">
      <c r="A6" s="7">
        <v>45689</v>
      </c>
      <c r="B6" s="3">
        <v>-1</v>
      </c>
      <c r="C6" s="4">
        <v>5</v>
      </c>
      <c r="F6" s="3">
        <v>-16</v>
      </c>
      <c r="G6" s="4">
        <v>-10</v>
      </c>
      <c r="J6" s="3">
        <v>28</v>
      </c>
      <c r="K6" s="4">
        <v>10</v>
      </c>
      <c r="P6" s="3">
        <v>-11</v>
      </c>
      <c r="Q6" s="4">
        <v>-5</v>
      </c>
      <c r="AA6" s="22"/>
      <c r="AB6" s="26" t="s">
        <v>25</v>
      </c>
      <c r="AC6" s="18">
        <f>COUNTIF(B$4:B$1048576,"&lt;=-30")</f>
        <v>19</v>
      </c>
      <c r="AD6" s="19">
        <f>AC6/SUM(AC$2:AC$5)</f>
        <v>0.1130952380952381</v>
      </c>
      <c r="AE6" s="18">
        <f>COUNTIF(D$4:D$1048576,"&lt;=-30")</f>
        <v>0</v>
      </c>
      <c r="AF6" s="19" t="e">
        <f>AE6/SUM(AE$2:AE$5)</f>
        <v>#DIV/0!</v>
      </c>
      <c r="AG6" s="18">
        <f>COUNTIF(F$4:F$1048576,"&lt;=-30")</f>
        <v>4</v>
      </c>
      <c r="AH6" s="19">
        <f>AG6/SUM(AG$2:AG$5)</f>
        <v>0.12121212121212122</v>
      </c>
      <c r="AI6" s="18">
        <f>COUNTIF(H$4:H$1048576,"&lt;=-30")</f>
        <v>0</v>
      </c>
      <c r="AJ6" s="19">
        <f>AI6/SUM(AI$2:AI$5)</f>
        <v>0</v>
      </c>
      <c r="AK6" s="18">
        <f>COUNTIF(J$4:J$1048576,"&lt;=-30")</f>
        <v>20</v>
      </c>
      <c r="AL6" s="19">
        <f>AK6/SUM(AK$2:AK$5)</f>
        <v>0.10638297872340426</v>
      </c>
      <c r="AM6" s="18">
        <f>COUNTIF(L$4:L$1048576,"&lt;=-30")</f>
        <v>0</v>
      </c>
      <c r="AN6" s="19">
        <f>AM6/SUM(AM$2:AM$5)</f>
        <v>0</v>
      </c>
      <c r="AO6" s="18">
        <f>COUNTIF(N$4:N$1048576,"&lt;=-30")</f>
        <v>4</v>
      </c>
      <c r="AP6" s="19">
        <f>AO6/SUM(AO$2:AO$5)</f>
        <v>0.11428571428571428</v>
      </c>
      <c r="AQ6" s="18">
        <f>COUNTIF(P$4:P$1048576,"&lt;=-30")</f>
        <v>9</v>
      </c>
      <c r="AR6" s="19">
        <f>AQ6/SUM(AQ$2:AQ$5)</f>
        <v>6.7164179104477612E-2</v>
      </c>
      <c r="AS6" s="18">
        <f>COUNTIF(R$4:R$1048576,"&lt;=-30")</f>
        <v>7</v>
      </c>
      <c r="AT6" s="19">
        <f>AS6/SUM(AS$2:AS$5)</f>
        <v>0.10144927536231885</v>
      </c>
      <c r="AU6" s="18">
        <f>COUNTIF(T$4:T$1048576,"&lt;=-30")</f>
        <v>0</v>
      </c>
      <c r="AV6" s="19">
        <f>AU6/SUM(AU$2:AU$5)</f>
        <v>0</v>
      </c>
      <c r="AW6" s="18">
        <f>COUNTIF(V$4:V$1048576,"&lt;=-30")</f>
        <v>6</v>
      </c>
      <c r="AX6" s="19">
        <f>AW6/SUM(AW$2:AW$5)</f>
        <v>7.4999999999999997E-2</v>
      </c>
      <c r="AY6" s="18">
        <f>COUNTIF(Z$4:Z$1048576,"&lt;=-30")</f>
        <v>0</v>
      </c>
      <c r="AZ6" s="19">
        <f>AY6/SUM(AY$2:AY$5)</f>
        <v>0</v>
      </c>
    </row>
    <row r="7" spans="1:52" ht="17.45" customHeight="1">
      <c r="A7" s="7">
        <v>45689</v>
      </c>
      <c r="B7" s="5">
        <v>-10</v>
      </c>
      <c r="C7" s="6">
        <v>-5</v>
      </c>
      <c r="F7" s="5">
        <v>-11</v>
      </c>
      <c r="G7" s="6">
        <v>-10</v>
      </c>
      <c r="J7" s="5">
        <v>-2</v>
      </c>
      <c r="K7" s="6">
        <v>5</v>
      </c>
      <c r="P7" s="5">
        <v>23</v>
      </c>
      <c r="Q7" s="6">
        <v>10</v>
      </c>
      <c r="AB7" s="27" t="s">
        <v>26</v>
      </c>
      <c r="AC7" s="39">
        <f>SUM(B3:C3)</f>
        <v>-668</v>
      </c>
      <c r="AD7" s="39"/>
      <c r="AE7" s="39">
        <f>SUM(D3:E3)</f>
        <v>0</v>
      </c>
      <c r="AF7" s="39"/>
      <c r="AG7" s="39">
        <f>SUM(F3:G3)</f>
        <v>49</v>
      </c>
      <c r="AH7" s="39"/>
      <c r="AI7" s="39">
        <f>SUM(H3:I3)</f>
        <v>-50</v>
      </c>
      <c r="AJ7" s="39"/>
      <c r="AK7" s="39">
        <f>SUM(J3:K3)</f>
        <v>-48</v>
      </c>
      <c r="AL7" s="39"/>
      <c r="AM7" s="39">
        <f>SUM(L3:M3)</f>
        <v>88</v>
      </c>
      <c r="AN7" s="39"/>
      <c r="AO7" s="39">
        <f>SUM(N3:O3)</f>
        <v>-238</v>
      </c>
      <c r="AP7" s="39"/>
      <c r="AQ7" s="39">
        <f>SUM(P3:Q3)</f>
        <v>702</v>
      </c>
      <c r="AR7" s="39"/>
      <c r="AS7" s="39">
        <f>SUM(R3:S3)</f>
        <v>-461</v>
      </c>
      <c r="AT7" s="39"/>
      <c r="AU7" s="39">
        <f>SUM(T3:U3)</f>
        <v>86</v>
      </c>
      <c r="AV7" s="39"/>
      <c r="AW7" s="39">
        <f>SUM(V3:W3)</f>
        <v>455</v>
      </c>
      <c r="AX7" s="39"/>
      <c r="AY7" s="39">
        <f>SUM(X3:AA3)</f>
        <v>147</v>
      </c>
      <c r="AZ7" s="39"/>
    </row>
    <row r="8" spans="1:52" ht="17.45" customHeight="1">
      <c r="A8" s="7">
        <v>45689</v>
      </c>
      <c r="B8" s="3">
        <v>-19</v>
      </c>
      <c r="C8" s="4">
        <v>-10</v>
      </c>
      <c r="F8" s="3">
        <v>-4</v>
      </c>
      <c r="G8" s="4">
        <v>5</v>
      </c>
      <c r="J8" s="3">
        <v>-5</v>
      </c>
      <c r="K8" s="4">
        <v>-5</v>
      </c>
      <c r="P8" s="3">
        <v>28</v>
      </c>
      <c r="Q8" s="4">
        <v>10</v>
      </c>
      <c r="AA8" t="s">
        <v>27</v>
      </c>
      <c r="AB8" s="28">
        <v>45689</v>
      </c>
      <c r="AC8" s="14">
        <f t="shared" ref="AC8:AC34" si="3">SUMIF($A$4:$A$1048576,$AB8,B$4:B$1048576)</f>
        <v>-17</v>
      </c>
      <c r="AD8" s="15">
        <f t="shared" ref="AD8:AV8" si="4">SUMIF($A$4:$A$1048576,$AB$8,C$4:C$1048576)</f>
        <v>-10</v>
      </c>
      <c r="AE8" s="14">
        <f t="shared" si="4"/>
        <v>0</v>
      </c>
      <c r="AF8" s="15">
        <f t="shared" si="4"/>
        <v>0</v>
      </c>
      <c r="AG8" s="14">
        <f t="shared" si="4"/>
        <v>-36</v>
      </c>
      <c r="AH8" s="15">
        <f t="shared" si="4"/>
        <v>-15</v>
      </c>
      <c r="AI8" s="14">
        <f t="shared" si="4"/>
        <v>0</v>
      </c>
      <c r="AJ8" s="15">
        <f t="shared" si="4"/>
        <v>0</v>
      </c>
      <c r="AK8" s="14">
        <f t="shared" si="4"/>
        <v>21</v>
      </c>
      <c r="AL8" s="15">
        <f t="shared" si="4"/>
        <v>15</v>
      </c>
      <c r="AM8" s="14">
        <f t="shared" si="4"/>
        <v>0</v>
      </c>
      <c r="AN8" s="15">
        <f t="shared" si="4"/>
        <v>0</v>
      </c>
      <c r="AO8" s="14">
        <f t="shared" si="4"/>
        <v>0</v>
      </c>
      <c r="AP8" s="15">
        <f t="shared" si="4"/>
        <v>0</v>
      </c>
      <c r="AQ8" s="14">
        <f t="shared" si="4"/>
        <v>32</v>
      </c>
      <c r="AR8" s="15">
        <f t="shared" si="4"/>
        <v>10</v>
      </c>
      <c r="AS8" s="14">
        <f t="shared" si="4"/>
        <v>0</v>
      </c>
      <c r="AT8" s="15">
        <f t="shared" si="4"/>
        <v>0</v>
      </c>
      <c r="AU8" s="14">
        <f t="shared" si="4"/>
        <v>0</v>
      </c>
      <c r="AV8" s="15">
        <f t="shared" si="4"/>
        <v>0</v>
      </c>
      <c r="AW8" s="14">
        <f>SUMIF($A$4:$A$1048576,$AB8,V$4:V$1048576)</f>
        <v>0</v>
      </c>
      <c r="AX8" s="15">
        <f>SUMIF($A$4:$A$1048576,$AB8,W$4:W$1048576)</f>
        <v>0</v>
      </c>
      <c r="AY8" s="14">
        <f>SUMIF($A$4:$A$1048576,$AB8,X$4:X$1048576)</f>
        <v>0</v>
      </c>
      <c r="AZ8" s="15">
        <f>SUMIF($A$4:$A$1048576,$AB8,Y$4:Y$1048576)</f>
        <v>0</v>
      </c>
    </row>
    <row r="9" spans="1:52" ht="17.45" customHeight="1">
      <c r="A9" s="7">
        <v>45689</v>
      </c>
      <c r="B9" s="5">
        <v>29</v>
      </c>
      <c r="C9" s="6">
        <v>10</v>
      </c>
      <c r="F9" s="5">
        <v>-33</v>
      </c>
      <c r="G9" s="6">
        <v>-10</v>
      </c>
      <c r="J9" s="5">
        <v>-3</v>
      </c>
      <c r="K9" s="6">
        <v>-5</v>
      </c>
      <c r="P9" s="5">
        <v>7</v>
      </c>
      <c r="Q9" s="6">
        <v>5</v>
      </c>
      <c r="AB9" s="28">
        <v>45710</v>
      </c>
      <c r="AC9" s="14">
        <f t="shared" si="3"/>
        <v>3</v>
      </c>
      <c r="AD9" s="15">
        <f t="shared" ref="AD9:AD34" si="5">SUMIF($A$4:$A$1048576,$AB9,C$4:C$1048576)</f>
        <v>-10</v>
      </c>
      <c r="AE9" s="14">
        <f t="shared" ref="AE9:AE34" si="6">SUMIF($A$4:$A$1048576,$AB9,D$4:D$1048576)</f>
        <v>0</v>
      </c>
      <c r="AF9" s="15">
        <f t="shared" ref="AF9:AF34" si="7">SUMIF($A$4:$A$1048576,$AB9,E$4:E$1048576)</f>
        <v>0</v>
      </c>
      <c r="AG9" s="14">
        <f t="shared" ref="AG9:AG34" si="8">SUMIF($A$4:$A$1048576,$AB9,F$4:F$1048576)</f>
        <v>0</v>
      </c>
      <c r="AH9" s="15">
        <f t="shared" ref="AH9:AH34" si="9">SUMIF($A$4:$A$1048576,$AB9,G$4:G$1048576)</f>
        <v>0</v>
      </c>
      <c r="AI9" s="14">
        <f t="shared" ref="AI9:AI34" si="10">SUMIF($A$4:$A$1048576,$AB9,H$4:H$1048576)</f>
        <v>0</v>
      </c>
      <c r="AJ9" s="15">
        <f t="shared" ref="AJ9:AJ34" si="11">SUMIF($A$4:$A$1048576,$AB9,I$4:I$1048576)</f>
        <v>0</v>
      </c>
      <c r="AK9" s="14">
        <f t="shared" ref="AK9:AK34" si="12">SUMIF($A$4:$A$1048576,$AB9,J$4:J$1048576)</f>
        <v>-151</v>
      </c>
      <c r="AL9" s="15">
        <f t="shared" ref="AL9:AL34" si="13">SUMIF($A$4:$A$1048576,$AB9,K$4:K$1048576)</f>
        <v>-50</v>
      </c>
      <c r="AM9" s="14">
        <f t="shared" ref="AM9:AM34" si="14">SUMIF($A$4:$A$1048576,$AB9,L$4:L$1048576)</f>
        <v>0</v>
      </c>
      <c r="AN9" s="15">
        <f t="shared" ref="AN9:AN34" si="15">SUMIF($A$4:$A$1048576,$AB9,M$4:M$1048576)</f>
        <v>0</v>
      </c>
      <c r="AO9" s="14">
        <f t="shared" ref="AO9:AO34" si="16">SUMIF($A$4:$A$1048576,$AB9,N$4:N$1048576)</f>
        <v>-23</v>
      </c>
      <c r="AP9" s="15">
        <f t="shared" ref="AP9:AP34" si="17">SUMIF($A$4:$A$1048576,$AB9,O$4:O$1048576)</f>
        <v>0</v>
      </c>
      <c r="AQ9" s="14">
        <f t="shared" ref="AQ9:AQ34" si="18">SUMIF($A$4:$A$1048576,$AB9,P$4:P$1048576)</f>
        <v>171</v>
      </c>
      <c r="AR9" s="15">
        <f t="shared" ref="AR9:AR34" si="19">SUMIF($A$4:$A$1048576,$AB9,Q$4:Q$1048576)</f>
        <v>60</v>
      </c>
      <c r="AS9" s="14">
        <f t="shared" ref="AS9:AS34" si="20">SUMIF($A$4:$A$1048576,$AB9,R$4:R$1048576)</f>
        <v>0</v>
      </c>
      <c r="AT9" s="15">
        <f t="shared" ref="AT9:AT34" si="21">SUMIF($A$4:$A$1048576,$AB9,S$4:S$1048576)</f>
        <v>0</v>
      </c>
      <c r="AU9" s="14">
        <f t="shared" ref="AU9:AU34" si="22">SUMIF($A$4:$A$1048576,$AB9,T$4:T$1048576)</f>
        <v>0</v>
      </c>
      <c r="AV9" s="15">
        <f t="shared" ref="AV9:AV34" si="23">SUMIF($A$4:$A$1048576,$AB9,U$4:U$1048576)</f>
        <v>0</v>
      </c>
      <c r="AW9" s="14">
        <f t="shared" ref="AW9:AW34" si="24">SUMIF($A$4:$A$1048576,$AB9,V$4:V$1048576)</f>
        <v>0</v>
      </c>
      <c r="AX9" s="15">
        <f t="shared" ref="AX9:AX34" si="25">SUMIF($A$4:$A$1048576,$AB9,W$4:W$1048576)</f>
        <v>0</v>
      </c>
      <c r="AY9" s="14">
        <f t="shared" ref="AY9:AY34" si="26">SUMIF($A$4:$A$1048576,$AB9,X$4:X$1048576)</f>
        <v>0</v>
      </c>
      <c r="AZ9" s="15">
        <f t="shared" ref="AZ9:AZ34" si="27">SUMIF($A$4:$A$1048576,$AB9,Y$4:Y$1048576)</f>
        <v>0</v>
      </c>
    </row>
    <row r="10" spans="1:52" ht="17.45" customHeight="1">
      <c r="A10" s="7">
        <v>45689</v>
      </c>
      <c r="B10" s="3">
        <v>-21</v>
      </c>
      <c r="C10" s="4">
        <v>-5</v>
      </c>
      <c r="F10" s="3">
        <v>37</v>
      </c>
      <c r="G10" s="4">
        <v>10</v>
      </c>
      <c r="J10" s="3">
        <v>-35</v>
      </c>
      <c r="K10" s="4">
        <v>-10</v>
      </c>
      <c r="P10" s="3">
        <v>19</v>
      </c>
      <c r="Q10" s="4">
        <v>5</v>
      </c>
      <c r="AB10" s="28">
        <v>45736</v>
      </c>
      <c r="AC10" s="14">
        <f t="shared" si="3"/>
        <v>8</v>
      </c>
      <c r="AD10" s="15">
        <f t="shared" si="5"/>
        <v>0</v>
      </c>
      <c r="AE10" s="14">
        <f t="shared" si="6"/>
        <v>0</v>
      </c>
      <c r="AF10" s="15">
        <f t="shared" si="7"/>
        <v>0</v>
      </c>
      <c r="AG10" s="14">
        <f t="shared" si="8"/>
        <v>0</v>
      </c>
      <c r="AH10" s="15">
        <f t="shared" si="9"/>
        <v>0</v>
      </c>
      <c r="AI10" s="14">
        <f t="shared" si="10"/>
        <v>0</v>
      </c>
      <c r="AJ10" s="15">
        <f t="shared" si="11"/>
        <v>0</v>
      </c>
      <c r="AK10" s="14">
        <f t="shared" si="12"/>
        <v>22</v>
      </c>
      <c r="AL10" s="15">
        <f t="shared" si="13"/>
        <v>25</v>
      </c>
      <c r="AM10" s="14">
        <f t="shared" si="14"/>
        <v>0</v>
      </c>
      <c r="AN10" s="15">
        <f t="shared" si="15"/>
        <v>0</v>
      </c>
      <c r="AO10" s="14">
        <f t="shared" si="16"/>
        <v>-86</v>
      </c>
      <c r="AP10" s="15">
        <f t="shared" si="17"/>
        <v>-45</v>
      </c>
      <c r="AQ10" s="14">
        <f t="shared" si="18"/>
        <v>56</v>
      </c>
      <c r="AR10" s="15">
        <f t="shared" si="19"/>
        <v>20</v>
      </c>
      <c r="AS10" s="14">
        <f t="shared" si="20"/>
        <v>0</v>
      </c>
      <c r="AT10" s="15">
        <f t="shared" si="21"/>
        <v>0</v>
      </c>
      <c r="AU10" s="14">
        <f t="shared" si="22"/>
        <v>0</v>
      </c>
      <c r="AV10" s="15">
        <f t="shared" si="23"/>
        <v>0</v>
      </c>
      <c r="AW10" s="14">
        <f t="shared" si="24"/>
        <v>0</v>
      </c>
      <c r="AX10" s="15">
        <f t="shared" si="25"/>
        <v>0</v>
      </c>
      <c r="AY10" s="14">
        <f t="shared" si="26"/>
        <v>0</v>
      </c>
      <c r="AZ10" s="15">
        <f t="shared" si="27"/>
        <v>0</v>
      </c>
    </row>
    <row r="11" spans="1:52" ht="17.45" customHeight="1">
      <c r="A11" s="7">
        <v>45689</v>
      </c>
      <c r="B11" s="5">
        <v>42</v>
      </c>
      <c r="C11" s="6">
        <v>10</v>
      </c>
      <c r="F11" s="5">
        <v>-20</v>
      </c>
      <c r="G11" s="6">
        <v>-5</v>
      </c>
      <c r="J11" s="5">
        <v>-2</v>
      </c>
      <c r="K11" s="6">
        <v>5</v>
      </c>
      <c r="P11" s="5">
        <v>-20</v>
      </c>
      <c r="Q11" s="6">
        <v>-10</v>
      </c>
      <c r="AB11" s="28">
        <v>45738</v>
      </c>
      <c r="AC11" s="14">
        <f t="shared" si="3"/>
        <v>11</v>
      </c>
      <c r="AD11" s="15">
        <f t="shared" si="5"/>
        <v>-15</v>
      </c>
      <c r="AE11" s="14">
        <f t="shared" si="6"/>
        <v>0</v>
      </c>
      <c r="AF11" s="15">
        <f t="shared" si="7"/>
        <v>0</v>
      </c>
      <c r="AG11" s="14">
        <f t="shared" si="8"/>
        <v>0</v>
      </c>
      <c r="AH11" s="15">
        <f t="shared" si="9"/>
        <v>0</v>
      </c>
      <c r="AI11" s="14">
        <f t="shared" si="10"/>
        <v>0</v>
      </c>
      <c r="AJ11" s="15">
        <f t="shared" si="11"/>
        <v>0</v>
      </c>
      <c r="AK11" s="14">
        <f t="shared" si="12"/>
        <v>20</v>
      </c>
      <c r="AL11" s="15">
        <f t="shared" si="13"/>
        <v>-5</v>
      </c>
      <c r="AM11" s="14">
        <f t="shared" si="14"/>
        <v>0</v>
      </c>
      <c r="AN11" s="15">
        <f t="shared" si="15"/>
        <v>0</v>
      </c>
      <c r="AO11" s="14">
        <f t="shared" si="16"/>
        <v>0</v>
      </c>
      <c r="AP11" s="15">
        <f t="shared" si="17"/>
        <v>0</v>
      </c>
      <c r="AQ11" s="14">
        <f t="shared" si="18"/>
        <v>-61</v>
      </c>
      <c r="AR11" s="15">
        <f t="shared" si="19"/>
        <v>-5</v>
      </c>
      <c r="AS11" s="14">
        <f t="shared" si="20"/>
        <v>30</v>
      </c>
      <c r="AT11" s="15">
        <f t="shared" si="21"/>
        <v>25</v>
      </c>
      <c r="AU11" s="14">
        <f t="shared" si="22"/>
        <v>0</v>
      </c>
      <c r="AV11" s="15">
        <f t="shared" si="23"/>
        <v>0</v>
      </c>
      <c r="AW11" s="14">
        <f t="shared" si="24"/>
        <v>0</v>
      </c>
      <c r="AX11" s="15">
        <f t="shared" si="25"/>
        <v>0</v>
      </c>
      <c r="AY11" s="14">
        <f t="shared" si="26"/>
        <v>0</v>
      </c>
      <c r="AZ11" s="15">
        <f t="shared" si="27"/>
        <v>0</v>
      </c>
    </row>
    <row r="12" spans="1:52" ht="17.45" customHeight="1">
      <c r="A12" s="7">
        <v>45689</v>
      </c>
      <c r="B12" s="3">
        <v>-13</v>
      </c>
      <c r="C12" s="4">
        <v>-10</v>
      </c>
      <c r="F12" s="3">
        <v>-7</v>
      </c>
      <c r="G12" s="4">
        <v>5</v>
      </c>
      <c r="J12" s="3">
        <v>30</v>
      </c>
      <c r="K12" s="4">
        <v>10</v>
      </c>
      <c r="P12" s="3">
        <v>-10</v>
      </c>
      <c r="Q12" s="4">
        <v>-5</v>
      </c>
      <c r="AB12" s="28">
        <v>45759</v>
      </c>
      <c r="AC12" s="14">
        <f t="shared" si="3"/>
        <v>138</v>
      </c>
      <c r="AD12" s="15">
        <f t="shared" si="5"/>
        <v>45</v>
      </c>
      <c r="AE12" s="14">
        <f t="shared" si="6"/>
        <v>0</v>
      </c>
      <c r="AF12" s="15">
        <f t="shared" si="7"/>
        <v>0</v>
      </c>
      <c r="AG12" s="14">
        <f t="shared" si="8"/>
        <v>0</v>
      </c>
      <c r="AH12" s="15">
        <f t="shared" si="9"/>
        <v>0</v>
      </c>
      <c r="AI12" s="14">
        <f t="shared" si="10"/>
        <v>0</v>
      </c>
      <c r="AJ12" s="15">
        <f t="shared" si="11"/>
        <v>0</v>
      </c>
      <c r="AK12" s="14">
        <f t="shared" si="12"/>
        <v>66</v>
      </c>
      <c r="AL12" s="15">
        <f t="shared" si="13"/>
        <v>30</v>
      </c>
      <c r="AM12" s="14">
        <f t="shared" si="14"/>
        <v>0</v>
      </c>
      <c r="AN12" s="15">
        <f t="shared" si="15"/>
        <v>0</v>
      </c>
      <c r="AO12" s="14">
        <f t="shared" si="16"/>
        <v>0</v>
      </c>
      <c r="AP12" s="15">
        <f t="shared" si="17"/>
        <v>0</v>
      </c>
      <c r="AQ12" s="14">
        <f t="shared" si="18"/>
        <v>-52</v>
      </c>
      <c r="AR12" s="15">
        <f t="shared" si="19"/>
        <v>-5</v>
      </c>
      <c r="AS12" s="14">
        <f t="shared" si="20"/>
        <v>-152</v>
      </c>
      <c r="AT12" s="15">
        <f t="shared" si="21"/>
        <v>-70</v>
      </c>
      <c r="AU12" s="14">
        <f t="shared" si="22"/>
        <v>0</v>
      </c>
      <c r="AV12" s="15">
        <f t="shared" si="23"/>
        <v>0</v>
      </c>
      <c r="AW12" s="14">
        <f t="shared" si="24"/>
        <v>0</v>
      </c>
      <c r="AX12" s="15">
        <f t="shared" si="25"/>
        <v>0</v>
      </c>
      <c r="AY12" s="14">
        <f t="shared" si="26"/>
        <v>0</v>
      </c>
      <c r="AZ12" s="15">
        <f t="shared" si="27"/>
        <v>0</v>
      </c>
    </row>
    <row r="13" spans="1:52" ht="17.45" customHeight="1">
      <c r="A13" s="7">
        <v>45710</v>
      </c>
      <c r="B13" s="3">
        <v>-13</v>
      </c>
      <c r="C13" s="4">
        <v>-5</v>
      </c>
      <c r="J13" s="3">
        <v>-14</v>
      </c>
      <c r="K13" s="4">
        <v>-10</v>
      </c>
      <c r="N13" s="3">
        <v>-13</v>
      </c>
      <c r="O13" s="4">
        <v>5</v>
      </c>
      <c r="P13" s="3">
        <v>40</v>
      </c>
      <c r="Q13" s="4">
        <v>10</v>
      </c>
      <c r="AB13" s="28">
        <v>45783</v>
      </c>
      <c r="AC13" s="14">
        <f t="shared" si="3"/>
        <v>-88</v>
      </c>
      <c r="AD13" s="15">
        <f t="shared" si="5"/>
        <v>-35</v>
      </c>
      <c r="AE13" s="14">
        <f t="shared" si="6"/>
        <v>0</v>
      </c>
      <c r="AF13" s="15">
        <f t="shared" si="7"/>
        <v>0</v>
      </c>
      <c r="AG13" s="14">
        <f t="shared" si="8"/>
        <v>0</v>
      </c>
      <c r="AH13" s="15">
        <f t="shared" si="9"/>
        <v>0</v>
      </c>
      <c r="AI13" s="14">
        <f t="shared" si="10"/>
        <v>0</v>
      </c>
      <c r="AJ13" s="15">
        <f t="shared" si="11"/>
        <v>0</v>
      </c>
      <c r="AK13" s="14">
        <f t="shared" si="12"/>
        <v>-9</v>
      </c>
      <c r="AL13" s="15">
        <f t="shared" si="13"/>
        <v>10</v>
      </c>
      <c r="AM13" s="14">
        <f t="shared" si="14"/>
        <v>0</v>
      </c>
      <c r="AN13" s="15">
        <f t="shared" si="15"/>
        <v>0</v>
      </c>
      <c r="AO13" s="14">
        <f t="shared" si="16"/>
        <v>0</v>
      </c>
      <c r="AP13" s="15">
        <f t="shared" si="17"/>
        <v>0</v>
      </c>
      <c r="AQ13" s="14">
        <f t="shared" si="18"/>
        <v>-70</v>
      </c>
      <c r="AR13" s="15">
        <f t="shared" si="19"/>
        <v>-35</v>
      </c>
      <c r="AS13" s="14">
        <f t="shared" si="20"/>
        <v>0</v>
      </c>
      <c r="AT13" s="15">
        <f t="shared" si="21"/>
        <v>0</v>
      </c>
      <c r="AU13" s="14">
        <f t="shared" si="22"/>
        <v>0</v>
      </c>
      <c r="AV13" s="15">
        <f t="shared" si="23"/>
        <v>0</v>
      </c>
      <c r="AW13" s="14">
        <f t="shared" si="24"/>
        <v>167</v>
      </c>
      <c r="AX13" s="15">
        <f t="shared" si="25"/>
        <v>60</v>
      </c>
      <c r="AY13" s="14">
        <f t="shared" si="26"/>
        <v>0</v>
      </c>
      <c r="AZ13" s="15">
        <f t="shared" si="27"/>
        <v>0</v>
      </c>
    </row>
    <row r="14" spans="1:52" ht="17.45" customHeight="1">
      <c r="A14" s="7">
        <v>45710</v>
      </c>
      <c r="B14" s="5">
        <v>-26</v>
      </c>
      <c r="C14" s="6">
        <v>-10</v>
      </c>
      <c r="J14" s="5">
        <v>6</v>
      </c>
      <c r="K14" s="6">
        <v>5</v>
      </c>
      <c r="N14" s="5">
        <v>-15</v>
      </c>
      <c r="O14" s="6">
        <v>-5</v>
      </c>
      <c r="P14" s="5">
        <v>35</v>
      </c>
      <c r="Q14" s="6">
        <v>10</v>
      </c>
      <c r="AB14" s="28">
        <v>45795</v>
      </c>
      <c r="AC14" s="14">
        <f t="shared" si="3"/>
        <v>-92</v>
      </c>
      <c r="AD14" s="15">
        <f t="shared" si="5"/>
        <v>-40</v>
      </c>
      <c r="AE14" s="14">
        <f t="shared" si="6"/>
        <v>0</v>
      </c>
      <c r="AF14" s="15">
        <f t="shared" si="7"/>
        <v>0</v>
      </c>
      <c r="AG14" s="14">
        <f t="shared" si="8"/>
        <v>0</v>
      </c>
      <c r="AH14" s="15">
        <f t="shared" si="9"/>
        <v>0</v>
      </c>
      <c r="AI14" s="14">
        <f t="shared" si="10"/>
        <v>0</v>
      </c>
      <c r="AJ14" s="15">
        <f t="shared" si="11"/>
        <v>0</v>
      </c>
      <c r="AK14" s="14">
        <f t="shared" si="12"/>
        <v>22</v>
      </c>
      <c r="AL14" s="15">
        <f t="shared" si="13"/>
        <v>15</v>
      </c>
      <c r="AM14" s="14">
        <f t="shared" si="14"/>
        <v>63</v>
      </c>
      <c r="AN14" s="15">
        <f t="shared" si="15"/>
        <v>25</v>
      </c>
      <c r="AO14" s="14">
        <f t="shared" si="16"/>
        <v>7</v>
      </c>
      <c r="AP14" s="15">
        <f t="shared" si="17"/>
        <v>0</v>
      </c>
      <c r="AQ14" s="14">
        <f t="shared" si="18"/>
        <v>0</v>
      </c>
      <c r="AR14" s="15">
        <f t="shared" si="19"/>
        <v>0</v>
      </c>
      <c r="AS14" s="14">
        <f t="shared" si="20"/>
        <v>0</v>
      </c>
      <c r="AT14" s="15">
        <f t="shared" si="21"/>
        <v>0</v>
      </c>
      <c r="AU14" s="14">
        <f t="shared" si="22"/>
        <v>0</v>
      </c>
      <c r="AV14" s="15">
        <f t="shared" si="23"/>
        <v>0</v>
      </c>
      <c r="AW14" s="14">
        <f t="shared" si="24"/>
        <v>0</v>
      </c>
      <c r="AX14" s="15">
        <f t="shared" si="25"/>
        <v>0</v>
      </c>
      <c r="AY14" s="14">
        <f t="shared" si="26"/>
        <v>0</v>
      </c>
      <c r="AZ14" s="15">
        <f t="shared" si="27"/>
        <v>0</v>
      </c>
    </row>
    <row r="15" spans="1:52" ht="17.45" customHeight="1">
      <c r="A15" s="7">
        <v>45710</v>
      </c>
      <c r="B15" s="3">
        <v>48</v>
      </c>
      <c r="C15" s="4">
        <v>10</v>
      </c>
      <c r="J15" s="3">
        <v>-15</v>
      </c>
      <c r="K15" s="4">
        <v>-5</v>
      </c>
      <c r="N15" s="3">
        <v>-36</v>
      </c>
      <c r="O15" s="4">
        <v>-10</v>
      </c>
      <c r="P15" s="3">
        <v>3</v>
      </c>
      <c r="Q15" s="4">
        <v>5</v>
      </c>
      <c r="AB15" s="28">
        <v>45801</v>
      </c>
      <c r="AC15" s="14">
        <f t="shared" si="3"/>
        <v>19</v>
      </c>
      <c r="AD15" s="15">
        <f t="shared" si="5"/>
        <v>5</v>
      </c>
      <c r="AE15" s="14">
        <f t="shared" si="6"/>
        <v>0</v>
      </c>
      <c r="AF15" s="15">
        <f t="shared" si="7"/>
        <v>0</v>
      </c>
      <c r="AG15" s="14">
        <f t="shared" si="8"/>
        <v>70</v>
      </c>
      <c r="AH15" s="15">
        <f t="shared" si="9"/>
        <v>20</v>
      </c>
      <c r="AI15" s="14">
        <f t="shared" si="10"/>
        <v>0</v>
      </c>
      <c r="AJ15" s="15">
        <f t="shared" si="11"/>
        <v>0</v>
      </c>
      <c r="AK15" s="14">
        <f t="shared" si="12"/>
        <v>-170</v>
      </c>
      <c r="AL15" s="15">
        <f t="shared" si="13"/>
        <v>-55</v>
      </c>
      <c r="AM15" s="14">
        <f t="shared" si="14"/>
        <v>0</v>
      </c>
      <c r="AN15" s="15">
        <f t="shared" si="15"/>
        <v>0</v>
      </c>
      <c r="AO15" s="14">
        <f t="shared" si="16"/>
        <v>0</v>
      </c>
      <c r="AP15" s="15">
        <f t="shared" si="17"/>
        <v>0</v>
      </c>
      <c r="AQ15" s="14">
        <f t="shared" si="18"/>
        <v>0</v>
      </c>
      <c r="AR15" s="15">
        <f t="shared" si="19"/>
        <v>0</v>
      </c>
      <c r="AS15" s="14">
        <f t="shared" si="20"/>
        <v>0</v>
      </c>
      <c r="AT15" s="15">
        <f t="shared" si="21"/>
        <v>0</v>
      </c>
      <c r="AU15" s="14">
        <f t="shared" si="22"/>
        <v>0</v>
      </c>
      <c r="AV15" s="15">
        <f t="shared" si="23"/>
        <v>0</v>
      </c>
      <c r="AW15" s="14">
        <f t="shared" si="24"/>
        <v>81</v>
      </c>
      <c r="AX15" s="15">
        <f t="shared" si="25"/>
        <v>30</v>
      </c>
      <c r="AY15" s="14">
        <f t="shared" si="26"/>
        <v>0</v>
      </c>
      <c r="AZ15" s="15">
        <f t="shared" si="27"/>
        <v>0</v>
      </c>
    </row>
    <row r="16" spans="1:52" ht="17.45" customHeight="1">
      <c r="A16" s="7">
        <v>45710</v>
      </c>
      <c r="B16" s="5">
        <v>27</v>
      </c>
      <c r="C16" s="6">
        <v>10</v>
      </c>
      <c r="J16" s="5">
        <v>-15</v>
      </c>
      <c r="K16" s="6">
        <v>-5</v>
      </c>
      <c r="N16" s="5">
        <v>9</v>
      </c>
      <c r="O16" s="6">
        <v>5</v>
      </c>
      <c r="P16" s="5">
        <v>-21</v>
      </c>
      <c r="Q16" s="6">
        <v>-10</v>
      </c>
      <c r="AB16" s="28">
        <v>45829</v>
      </c>
      <c r="AC16" s="14">
        <f t="shared" si="3"/>
        <v>-91</v>
      </c>
      <c r="AD16" s="15">
        <f t="shared" si="5"/>
        <v>-50</v>
      </c>
      <c r="AE16" s="14">
        <f t="shared" si="6"/>
        <v>0</v>
      </c>
      <c r="AF16" s="15">
        <f t="shared" si="7"/>
        <v>0</v>
      </c>
      <c r="AG16" s="14">
        <f t="shared" si="8"/>
        <v>0</v>
      </c>
      <c r="AH16" s="15">
        <f t="shared" si="9"/>
        <v>0</v>
      </c>
      <c r="AI16" s="14">
        <f t="shared" si="10"/>
        <v>0</v>
      </c>
      <c r="AJ16" s="15">
        <f t="shared" si="11"/>
        <v>0</v>
      </c>
      <c r="AK16" s="14">
        <f t="shared" si="12"/>
        <v>-19</v>
      </c>
      <c r="AL16" s="15">
        <f t="shared" si="13"/>
        <v>10</v>
      </c>
      <c r="AM16" s="14">
        <f t="shared" si="14"/>
        <v>0</v>
      </c>
      <c r="AN16" s="15">
        <f t="shared" si="15"/>
        <v>0</v>
      </c>
      <c r="AO16" s="14">
        <f t="shared" si="16"/>
        <v>0</v>
      </c>
      <c r="AP16" s="15">
        <f t="shared" si="17"/>
        <v>0</v>
      </c>
      <c r="AQ16" s="14">
        <f t="shared" si="18"/>
        <v>-15</v>
      </c>
      <c r="AR16" s="15">
        <f t="shared" si="19"/>
        <v>15</v>
      </c>
      <c r="AS16" s="14">
        <f t="shared" si="20"/>
        <v>0</v>
      </c>
      <c r="AT16" s="15">
        <f t="shared" si="21"/>
        <v>0</v>
      </c>
      <c r="AU16" s="14">
        <f t="shared" si="22"/>
        <v>0</v>
      </c>
      <c r="AV16" s="15">
        <f t="shared" si="23"/>
        <v>0</v>
      </c>
      <c r="AW16" s="14">
        <f t="shared" si="24"/>
        <v>125</v>
      </c>
      <c r="AX16" s="15">
        <f t="shared" si="25"/>
        <v>25</v>
      </c>
      <c r="AY16" s="14">
        <f t="shared" si="26"/>
        <v>0</v>
      </c>
      <c r="AZ16" s="15">
        <f t="shared" si="27"/>
        <v>0</v>
      </c>
    </row>
    <row r="17" spans="1:52" ht="17.45" customHeight="1">
      <c r="A17" s="7">
        <v>45710</v>
      </c>
      <c r="B17" s="3">
        <v>-12</v>
      </c>
      <c r="C17" s="4">
        <v>-5</v>
      </c>
      <c r="J17" s="3">
        <v>-21</v>
      </c>
      <c r="K17" s="4">
        <v>-10</v>
      </c>
      <c r="N17" s="3">
        <v>27</v>
      </c>
      <c r="O17" s="4">
        <v>10</v>
      </c>
      <c r="P17" s="3">
        <v>6</v>
      </c>
      <c r="Q17" s="4">
        <v>5</v>
      </c>
      <c r="AB17" s="28">
        <v>45857</v>
      </c>
      <c r="AC17" s="14">
        <f t="shared" si="3"/>
        <v>-125</v>
      </c>
      <c r="AD17" s="15">
        <f t="shared" si="5"/>
        <v>-25</v>
      </c>
      <c r="AE17" s="14">
        <f t="shared" si="6"/>
        <v>0</v>
      </c>
      <c r="AF17" s="15">
        <f t="shared" si="7"/>
        <v>0</v>
      </c>
      <c r="AG17" s="14">
        <f t="shared" si="8"/>
        <v>0</v>
      </c>
      <c r="AH17" s="15">
        <f t="shared" si="9"/>
        <v>0</v>
      </c>
      <c r="AI17" s="14">
        <f t="shared" si="10"/>
        <v>0</v>
      </c>
      <c r="AJ17" s="15">
        <f t="shared" si="11"/>
        <v>0</v>
      </c>
      <c r="AK17" s="14">
        <f t="shared" si="12"/>
        <v>-17</v>
      </c>
      <c r="AL17" s="15">
        <f t="shared" si="13"/>
        <v>-15</v>
      </c>
      <c r="AM17" s="14">
        <f t="shared" si="14"/>
        <v>0</v>
      </c>
      <c r="AN17" s="15">
        <f t="shared" si="15"/>
        <v>0</v>
      </c>
      <c r="AO17" s="14">
        <f t="shared" si="16"/>
        <v>0</v>
      </c>
      <c r="AP17" s="15">
        <f t="shared" si="17"/>
        <v>0</v>
      </c>
      <c r="AQ17" s="14">
        <f t="shared" si="18"/>
        <v>127</v>
      </c>
      <c r="AR17" s="15">
        <f t="shared" si="19"/>
        <v>40</v>
      </c>
      <c r="AS17" s="14">
        <f t="shared" si="20"/>
        <v>0</v>
      </c>
      <c r="AT17" s="15">
        <f t="shared" si="21"/>
        <v>0</v>
      </c>
      <c r="AU17" s="14">
        <f t="shared" si="22"/>
        <v>0</v>
      </c>
      <c r="AV17" s="15">
        <f t="shared" si="23"/>
        <v>0</v>
      </c>
      <c r="AW17" s="14">
        <f t="shared" si="24"/>
        <v>15</v>
      </c>
      <c r="AX17" s="15">
        <f t="shared" si="25"/>
        <v>0</v>
      </c>
      <c r="AY17" s="14">
        <f t="shared" si="26"/>
        <v>0</v>
      </c>
      <c r="AZ17" s="15">
        <f t="shared" si="27"/>
        <v>0</v>
      </c>
    </row>
    <row r="18" spans="1:52" ht="17.45" customHeight="1">
      <c r="A18" s="7">
        <v>45710</v>
      </c>
      <c r="B18" s="5">
        <v>-12</v>
      </c>
      <c r="C18" s="6">
        <v>-5</v>
      </c>
      <c r="J18" s="5">
        <v>-1</v>
      </c>
      <c r="K18" s="6">
        <v>5</v>
      </c>
      <c r="N18" s="5">
        <v>-13</v>
      </c>
      <c r="O18" s="6">
        <v>-10</v>
      </c>
      <c r="P18" s="5">
        <v>26</v>
      </c>
      <c r="Q18" s="6">
        <v>10</v>
      </c>
      <c r="AB18" s="28">
        <v>45872</v>
      </c>
      <c r="AC18" s="14">
        <f t="shared" si="3"/>
        <v>16</v>
      </c>
      <c r="AD18" s="15">
        <f t="shared" si="5"/>
        <v>-5</v>
      </c>
      <c r="AE18" s="14">
        <f t="shared" si="6"/>
        <v>0</v>
      </c>
      <c r="AF18" s="15">
        <f t="shared" si="7"/>
        <v>0</v>
      </c>
      <c r="AG18" s="14">
        <f t="shared" si="8"/>
        <v>12</v>
      </c>
      <c r="AH18" s="15">
        <f t="shared" si="9"/>
        <v>15</v>
      </c>
      <c r="AI18" s="14">
        <f t="shared" si="10"/>
        <v>0</v>
      </c>
      <c r="AJ18" s="15">
        <f t="shared" si="11"/>
        <v>0</v>
      </c>
      <c r="AK18" s="14">
        <f t="shared" si="12"/>
        <v>32</v>
      </c>
      <c r="AL18" s="15">
        <f t="shared" si="13"/>
        <v>5</v>
      </c>
      <c r="AM18" s="14">
        <f t="shared" si="14"/>
        <v>0</v>
      </c>
      <c r="AN18" s="15">
        <f t="shared" si="15"/>
        <v>0</v>
      </c>
      <c r="AO18" s="14">
        <f t="shared" si="16"/>
        <v>0</v>
      </c>
      <c r="AP18" s="15">
        <f t="shared" si="17"/>
        <v>0</v>
      </c>
      <c r="AQ18" s="14">
        <f t="shared" si="18"/>
        <v>-14</v>
      </c>
      <c r="AR18" s="15">
        <f t="shared" si="19"/>
        <v>-10</v>
      </c>
      <c r="AS18" s="14">
        <f t="shared" si="20"/>
        <v>0</v>
      </c>
      <c r="AT18" s="15">
        <f t="shared" si="21"/>
        <v>0</v>
      </c>
      <c r="AU18" s="14">
        <f t="shared" si="22"/>
        <v>0</v>
      </c>
      <c r="AV18" s="15">
        <f t="shared" si="23"/>
        <v>0</v>
      </c>
      <c r="AW18" s="14">
        <f t="shared" si="24"/>
        <v>-46</v>
      </c>
      <c r="AX18" s="15">
        <f t="shared" si="25"/>
        <v>-5</v>
      </c>
      <c r="AY18" s="14">
        <f t="shared" si="26"/>
        <v>0</v>
      </c>
      <c r="AZ18" s="15">
        <f t="shared" si="27"/>
        <v>0</v>
      </c>
    </row>
    <row r="19" spans="1:52" ht="17.45" customHeight="1">
      <c r="A19" s="7">
        <v>45710</v>
      </c>
      <c r="B19" s="3">
        <v>12</v>
      </c>
      <c r="C19" s="4">
        <v>5</v>
      </c>
      <c r="J19" s="3">
        <v>-34</v>
      </c>
      <c r="K19" s="4">
        <v>-10</v>
      </c>
      <c r="N19" s="3">
        <v>-7</v>
      </c>
      <c r="O19" s="4">
        <v>-5</v>
      </c>
      <c r="P19" s="3">
        <v>29</v>
      </c>
      <c r="Q19" s="4">
        <v>10</v>
      </c>
      <c r="AB19" s="28">
        <v>45881</v>
      </c>
      <c r="AC19" s="14">
        <f t="shared" si="3"/>
        <v>0</v>
      </c>
      <c r="AD19" s="15">
        <f t="shared" si="5"/>
        <v>0</v>
      </c>
      <c r="AE19" s="14">
        <f t="shared" si="6"/>
        <v>0</v>
      </c>
      <c r="AF19" s="15">
        <f t="shared" si="7"/>
        <v>0</v>
      </c>
      <c r="AG19" s="14">
        <f t="shared" si="8"/>
        <v>-17</v>
      </c>
      <c r="AH19" s="15">
        <f t="shared" si="9"/>
        <v>0</v>
      </c>
      <c r="AI19" s="14">
        <f t="shared" si="10"/>
        <v>-45</v>
      </c>
      <c r="AJ19" s="15">
        <f t="shared" si="11"/>
        <v>-5</v>
      </c>
      <c r="AK19" s="14">
        <f t="shared" si="12"/>
        <v>-14</v>
      </c>
      <c r="AL19" s="15">
        <f t="shared" si="13"/>
        <v>5</v>
      </c>
      <c r="AM19" s="14">
        <f t="shared" si="14"/>
        <v>0</v>
      </c>
      <c r="AN19" s="15">
        <f t="shared" si="15"/>
        <v>0</v>
      </c>
      <c r="AO19" s="14">
        <f t="shared" si="16"/>
        <v>0</v>
      </c>
      <c r="AP19" s="15">
        <f t="shared" si="17"/>
        <v>0</v>
      </c>
      <c r="AQ19" s="14">
        <f t="shared" si="18"/>
        <v>76</v>
      </c>
      <c r="AR19" s="15">
        <f t="shared" si="19"/>
        <v>0</v>
      </c>
      <c r="AS19" s="14">
        <f t="shared" si="20"/>
        <v>0</v>
      </c>
      <c r="AT19" s="15">
        <f t="shared" si="21"/>
        <v>0</v>
      </c>
      <c r="AU19" s="14">
        <f t="shared" si="22"/>
        <v>0</v>
      </c>
      <c r="AV19" s="15">
        <f t="shared" si="23"/>
        <v>0</v>
      </c>
      <c r="AW19" s="14">
        <f t="shared" si="24"/>
        <v>0</v>
      </c>
      <c r="AX19" s="15">
        <f t="shared" si="25"/>
        <v>0</v>
      </c>
      <c r="AY19" s="14">
        <f t="shared" si="26"/>
        <v>0</v>
      </c>
      <c r="AZ19" s="15">
        <f t="shared" si="27"/>
        <v>0</v>
      </c>
    </row>
    <row r="20" spans="1:52" ht="17.45" customHeight="1">
      <c r="A20" s="7">
        <v>45710</v>
      </c>
      <c r="B20" s="5">
        <v>-6</v>
      </c>
      <c r="C20" s="6">
        <v>-5</v>
      </c>
      <c r="J20" s="5">
        <v>-27</v>
      </c>
      <c r="K20" s="6">
        <v>-10</v>
      </c>
      <c r="N20" s="5">
        <v>37</v>
      </c>
      <c r="O20" s="6">
        <v>10</v>
      </c>
      <c r="P20" s="5">
        <v>-4</v>
      </c>
      <c r="Q20" s="6">
        <v>5</v>
      </c>
      <c r="AB20" s="28">
        <v>45892</v>
      </c>
      <c r="AC20" s="14">
        <f t="shared" si="3"/>
        <v>-6</v>
      </c>
      <c r="AD20" s="15">
        <f t="shared" si="5"/>
        <v>-15</v>
      </c>
      <c r="AE20" s="14">
        <f t="shared" si="6"/>
        <v>0</v>
      </c>
      <c r="AF20" s="15">
        <f t="shared" si="7"/>
        <v>0</v>
      </c>
      <c r="AG20" s="14">
        <f t="shared" si="8"/>
        <v>0</v>
      </c>
      <c r="AH20" s="15">
        <f t="shared" si="9"/>
        <v>0</v>
      </c>
      <c r="AI20" s="14">
        <f t="shared" si="10"/>
        <v>0</v>
      </c>
      <c r="AJ20" s="15">
        <f t="shared" si="11"/>
        <v>0</v>
      </c>
      <c r="AK20" s="14">
        <f t="shared" si="12"/>
        <v>-78</v>
      </c>
      <c r="AL20" s="15">
        <f t="shared" si="13"/>
        <v>-15</v>
      </c>
      <c r="AM20" s="14">
        <f t="shared" si="14"/>
        <v>0</v>
      </c>
      <c r="AN20" s="15">
        <f t="shared" si="15"/>
        <v>0</v>
      </c>
      <c r="AO20" s="14">
        <f t="shared" si="16"/>
        <v>0</v>
      </c>
      <c r="AP20" s="15">
        <f t="shared" si="17"/>
        <v>0</v>
      </c>
      <c r="AQ20" s="14">
        <f t="shared" si="18"/>
        <v>86</v>
      </c>
      <c r="AR20" s="15">
        <f t="shared" si="19"/>
        <v>25</v>
      </c>
      <c r="AS20" s="14">
        <f t="shared" si="20"/>
        <v>-17</v>
      </c>
      <c r="AT20" s="15">
        <f t="shared" si="21"/>
        <v>-5</v>
      </c>
      <c r="AU20" s="14">
        <f t="shared" si="22"/>
        <v>15</v>
      </c>
      <c r="AV20" s="15">
        <f t="shared" si="23"/>
        <v>10</v>
      </c>
      <c r="AW20" s="14">
        <f t="shared" si="24"/>
        <v>0</v>
      </c>
      <c r="AX20" s="15">
        <f t="shared" si="25"/>
        <v>0</v>
      </c>
      <c r="AY20" s="14">
        <f t="shared" si="26"/>
        <v>0</v>
      </c>
      <c r="AZ20" s="15">
        <f t="shared" si="27"/>
        <v>0</v>
      </c>
    </row>
    <row r="21" spans="1:52" ht="17.45" customHeight="1">
      <c r="A21" s="7">
        <v>45710</v>
      </c>
      <c r="B21" s="3">
        <v>-37</v>
      </c>
      <c r="C21" s="4">
        <v>-10</v>
      </c>
      <c r="J21" s="3">
        <v>-7</v>
      </c>
      <c r="K21" s="4">
        <v>-5</v>
      </c>
      <c r="N21" s="3">
        <v>14</v>
      </c>
      <c r="O21" s="4">
        <v>5</v>
      </c>
      <c r="P21" s="3">
        <v>30</v>
      </c>
      <c r="Q21" s="4">
        <v>10</v>
      </c>
      <c r="AB21" s="28">
        <v>45899</v>
      </c>
      <c r="AC21" s="14">
        <f t="shared" si="3"/>
        <v>0</v>
      </c>
      <c r="AD21" s="15">
        <f t="shared" si="5"/>
        <v>0</v>
      </c>
      <c r="AE21" s="14">
        <f t="shared" si="6"/>
        <v>0</v>
      </c>
      <c r="AF21" s="15">
        <f t="shared" si="7"/>
        <v>0</v>
      </c>
      <c r="AG21" s="14">
        <f t="shared" si="8"/>
        <v>0</v>
      </c>
      <c r="AH21" s="15">
        <f t="shared" si="9"/>
        <v>0</v>
      </c>
      <c r="AI21" s="14">
        <f t="shared" si="10"/>
        <v>0</v>
      </c>
      <c r="AJ21" s="15">
        <f t="shared" si="11"/>
        <v>0</v>
      </c>
      <c r="AK21" s="14">
        <f t="shared" si="12"/>
        <v>48</v>
      </c>
      <c r="AL21" s="15">
        <f t="shared" si="13"/>
        <v>0</v>
      </c>
      <c r="AM21" s="14">
        <f t="shared" si="14"/>
        <v>0</v>
      </c>
      <c r="AN21" s="15">
        <f t="shared" si="15"/>
        <v>0</v>
      </c>
      <c r="AO21" s="14">
        <f t="shared" si="16"/>
        <v>0</v>
      </c>
      <c r="AP21" s="15">
        <f t="shared" si="17"/>
        <v>0</v>
      </c>
      <c r="AQ21" s="14">
        <f t="shared" si="18"/>
        <v>0</v>
      </c>
      <c r="AR21" s="15">
        <f t="shared" si="19"/>
        <v>0</v>
      </c>
      <c r="AS21" s="14">
        <f t="shared" si="20"/>
        <v>-58</v>
      </c>
      <c r="AT21" s="15">
        <f t="shared" si="21"/>
        <v>-10</v>
      </c>
      <c r="AU21" s="14">
        <f t="shared" si="22"/>
        <v>41</v>
      </c>
      <c r="AV21" s="15">
        <f t="shared" si="23"/>
        <v>20</v>
      </c>
      <c r="AW21" s="14">
        <f t="shared" si="24"/>
        <v>-31</v>
      </c>
      <c r="AX21" s="15">
        <f t="shared" si="25"/>
        <v>-10</v>
      </c>
      <c r="AY21" s="14">
        <f t="shared" si="26"/>
        <v>0</v>
      </c>
      <c r="AZ21" s="15">
        <f t="shared" si="27"/>
        <v>0</v>
      </c>
    </row>
    <row r="22" spans="1:52" ht="17.45" customHeight="1">
      <c r="A22" s="7">
        <v>45710</v>
      </c>
      <c r="B22" s="5">
        <v>34</v>
      </c>
      <c r="C22" s="6">
        <v>10</v>
      </c>
      <c r="J22" s="5">
        <v>-5</v>
      </c>
      <c r="K22" s="6">
        <v>5</v>
      </c>
      <c r="N22" s="5">
        <v>-18</v>
      </c>
      <c r="O22" s="6">
        <v>-10</v>
      </c>
      <c r="P22" s="5">
        <v>-11</v>
      </c>
      <c r="Q22" s="6">
        <v>-5</v>
      </c>
      <c r="AB22" s="28">
        <v>45923</v>
      </c>
      <c r="AC22" s="14">
        <f t="shared" si="3"/>
        <v>-55</v>
      </c>
      <c r="AD22" s="15">
        <f t="shared" si="5"/>
        <v>-35</v>
      </c>
      <c r="AE22" s="14">
        <f t="shared" si="6"/>
        <v>0</v>
      </c>
      <c r="AF22" s="15">
        <f t="shared" si="7"/>
        <v>0</v>
      </c>
      <c r="AG22" s="14">
        <f t="shared" si="8"/>
        <v>0</v>
      </c>
      <c r="AH22" s="15">
        <f t="shared" si="9"/>
        <v>0</v>
      </c>
      <c r="AI22" s="14">
        <f t="shared" si="10"/>
        <v>0</v>
      </c>
      <c r="AJ22" s="15">
        <f t="shared" si="11"/>
        <v>0</v>
      </c>
      <c r="AK22" s="14">
        <f t="shared" si="12"/>
        <v>31</v>
      </c>
      <c r="AL22" s="15">
        <f t="shared" si="13"/>
        <v>35</v>
      </c>
      <c r="AM22" s="14">
        <f t="shared" si="14"/>
        <v>0</v>
      </c>
      <c r="AN22" s="15">
        <f t="shared" si="15"/>
        <v>0</v>
      </c>
      <c r="AO22" s="14">
        <f t="shared" si="16"/>
        <v>0</v>
      </c>
      <c r="AP22" s="15">
        <f t="shared" si="17"/>
        <v>0</v>
      </c>
      <c r="AQ22" s="14">
        <f t="shared" si="18"/>
        <v>175</v>
      </c>
      <c r="AR22" s="15">
        <f t="shared" si="19"/>
        <v>40</v>
      </c>
      <c r="AS22" s="14">
        <f t="shared" si="20"/>
        <v>-151</v>
      </c>
      <c r="AT22" s="15">
        <f t="shared" si="21"/>
        <v>-40</v>
      </c>
      <c r="AU22" s="14">
        <f t="shared" si="22"/>
        <v>0</v>
      </c>
      <c r="AV22" s="15">
        <f t="shared" si="23"/>
        <v>0</v>
      </c>
      <c r="AW22" s="14">
        <f t="shared" si="24"/>
        <v>0</v>
      </c>
      <c r="AX22" s="15">
        <f t="shared" si="25"/>
        <v>0</v>
      </c>
      <c r="AY22" s="14">
        <f t="shared" si="26"/>
        <v>0</v>
      </c>
      <c r="AZ22" s="15">
        <f t="shared" si="27"/>
        <v>0</v>
      </c>
    </row>
    <row r="23" spans="1:52" ht="17.45" customHeight="1">
      <c r="A23" s="7">
        <v>45710</v>
      </c>
      <c r="B23" s="3">
        <v>-12</v>
      </c>
      <c r="C23" s="4">
        <v>-5</v>
      </c>
      <c r="J23" s="3">
        <v>-18</v>
      </c>
      <c r="K23" s="4">
        <v>-10</v>
      </c>
      <c r="N23" s="3">
        <v>-8</v>
      </c>
      <c r="O23" s="4">
        <v>5</v>
      </c>
      <c r="P23" s="3">
        <v>38</v>
      </c>
      <c r="Q23" s="4">
        <v>10</v>
      </c>
      <c r="AB23" s="28">
        <v>45943</v>
      </c>
      <c r="AC23" s="14">
        <f t="shared" si="3"/>
        <v>-90</v>
      </c>
      <c r="AD23" s="15">
        <f t="shared" si="5"/>
        <v>-10</v>
      </c>
      <c r="AE23" s="14">
        <f t="shared" si="6"/>
        <v>0</v>
      </c>
      <c r="AF23" s="15">
        <f t="shared" si="7"/>
        <v>0</v>
      </c>
      <c r="AG23" s="14">
        <f t="shared" si="8"/>
        <v>0</v>
      </c>
      <c r="AH23" s="15">
        <f t="shared" si="9"/>
        <v>0</v>
      </c>
      <c r="AI23" s="14">
        <f t="shared" si="10"/>
        <v>0</v>
      </c>
      <c r="AJ23" s="15">
        <f t="shared" si="11"/>
        <v>0</v>
      </c>
      <c r="AK23" s="14">
        <f t="shared" si="12"/>
        <v>101</v>
      </c>
      <c r="AL23" s="15">
        <f t="shared" si="13"/>
        <v>35</v>
      </c>
      <c r="AM23" s="14">
        <f t="shared" si="14"/>
        <v>0</v>
      </c>
      <c r="AN23" s="15">
        <f t="shared" si="15"/>
        <v>0</v>
      </c>
      <c r="AO23" s="14">
        <f t="shared" si="16"/>
        <v>0</v>
      </c>
      <c r="AP23" s="15">
        <f t="shared" si="17"/>
        <v>0</v>
      </c>
      <c r="AQ23" s="14">
        <f t="shared" si="18"/>
        <v>-13</v>
      </c>
      <c r="AR23" s="15">
        <f t="shared" si="19"/>
        <v>-10</v>
      </c>
      <c r="AS23" s="14">
        <f t="shared" si="20"/>
        <v>2</v>
      </c>
      <c r="AT23" s="15">
        <f t="shared" si="21"/>
        <v>-15</v>
      </c>
      <c r="AU23" s="14">
        <f t="shared" si="22"/>
        <v>0</v>
      </c>
      <c r="AV23" s="15">
        <f t="shared" si="23"/>
        <v>0</v>
      </c>
      <c r="AW23" s="14">
        <f t="shared" si="24"/>
        <v>0</v>
      </c>
      <c r="AX23" s="15">
        <f t="shared" si="25"/>
        <v>0</v>
      </c>
      <c r="AY23" s="14">
        <f t="shared" si="26"/>
        <v>0</v>
      </c>
      <c r="AZ23" s="15">
        <f t="shared" si="27"/>
        <v>0</v>
      </c>
    </row>
    <row r="24" spans="1:52" ht="17.45" customHeight="1">
      <c r="A24" s="7">
        <v>45736</v>
      </c>
      <c r="B24" s="3">
        <v>-2</v>
      </c>
      <c r="C24" s="4">
        <v>-5</v>
      </c>
      <c r="J24" s="3">
        <v>3</v>
      </c>
      <c r="K24" s="4">
        <v>5</v>
      </c>
      <c r="N24" s="3">
        <v>-21</v>
      </c>
      <c r="O24" s="4">
        <v>-10</v>
      </c>
      <c r="P24" s="3">
        <v>20</v>
      </c>
      <c r="Q24" s="4">
        <v>10</v>
      </c>
      <c r="AB24" s="35">
        <v>45955</v>
      </c>
      <c r="AC24" s="14">
        <f t="shared" si="3"/>
        <v>32</v>
      </c>
      <c r="AD24" s="15">
        <f t="shared" si="5"/>
        <v>20</v>
      </c>
      <c r="AE24" s="14">
        <f t="shared" si="6"/>
        <v>0</v>
      </c>
      <c r="AF24" s="15">
        <f t="shared" si="7"/>
        <v>0</v>
      </c>
      <c r="AG24" s="14">
        <f t="shared" si="8"/>
        <v>0</v>
      </c>
      <c r="AH24" s="15">
        <f t="shared" si="9"/>
        <v>0</v>
      </c>
      <c r="AI24" s="14">
        <f t="shared" si="10"/>
        <v>0</v>
      </c>
      <c r="AJ24" s="15">
        <f t="shared" si="11"/>
        <v>0</v>
      </c>
      <c r="AK24" s="14">
        <f t="shared" si="12"/>
        <v>26</v>
      </c>
      <c r="AL24" s="15">
        <f t="shared" si="13"/>
        <v>0</v>
      </c>
      <c r="AM24" s="14">
        <f t="shared" si="14"/>
        <v>0</v>
      </c>
      <c r="AN24" s="15">
        <f t="shared" si="15"/>
        <v>0</v>
      </c>
      <c r="AO24" s="14">
        <f t="shared" si="16"/>
        <v>-71</v>
      </c>
      <c r="AP24" s="15">
        <f t="shared" si="17"/>
        <v>-20</v>
      </c>
      <c r="AQ24" s="14">
        <f t="shared" si="18"/>
        <v>0</v>
      </c>
      <c r="AR24" s="15">
        <f t="shared" si="19"/>
        <v>0</v>
      </c>
      <c r="AS24" s="14">
        <f t="shared" si="20"/>
        <v>0</v>
      </c>
      <c r="AT24" s="15">
        <f t="shared" si="21"/>
        <v>0</v>
      </c>
      <c r="AU24" s="14">
        <f t="shared" si="22"/>
        <v>0</v>
      </c>
      <c r="AV24" s="15">
        <f t="shared" si="23"/>
        <v>0</v>
      </c>
      <c r="AW24" s="14">
        <f t="shared" si="24"/>
        <v>13</v>
      </c>
      <c r="AX24" s="15">
        <f t="shared" si="25"/>
        <v>0</v>
      </c>
      <c r="AY24" s="14">
        <f t="shared" si="26"/>
        <v>0</v>
      </c>
      <c r="AZ24" s="15">
        <f t="shared" si="27"/>
        <v>0</v>
      </c>
    </row>
    <row r="25" spans="1:52" ht="17.45" customHeight="1">
      <c r="A25" s="7">
        <v>45736</v>
      </c>
      <c r="B25" s="5">
        <v>48</v>
      </c>
      <c r="C25" s="6">
        <v>10</v>
      </c>
      <c r="J25" s="5">
        <v>-30</v>
      </c>
      <c r="K25" s="6">
        <v>-10</v>
      </c>
      <c r="N25" s="5">
        <v>-13</v>
      </c>
      <c r="O25" s="6">
        <v>-5</v>
      </c>
      <c r="P25" s="5">
        <v>-5</v>
      </c>
      <c r="Q25" s="6">
        <v>5</v>
      </c>
      <c r="AB25" s="35">
        <v>45962</v>
      </c>
      <c r="AC25" s="14">
        <f t="shared" si="3"/>
        <v>-94</v>
      </c>
      <c r="AD25" s="15">
        <f t="shared" si="5"/>
        <v>-35</v>
      </c>
      <c r="AE25" s="14">
        <f t="shared" si="6"/>
        <v>0</v>
      </c>
      <c r="AF25" s="15">
        <f t="shared" si="7"/>
        <v>0</v>
      </c>
      <c r="AG25" s="14">
        <f t="shared" si="8"/>
        <v>0</v>
      </c>
      <c r="AH25" s="15">
        <f t="shared" si="9"/>
        <v>0</v>
      </c>
      <c r="AI25" s="14">
        <f t="shared" si="10"/>
        <v>0</v>
      </c>
      <c r="AJ25" s="15">
        <f t="shared" si="11"/>
        <v>0</v>
      </c>
      <c r="AK25" s="14">
        <f t="shared" si="12"/>
        <v>26</v>
      </c>
      <c r="AL25" s="15">
        <f t="shared" si="13"/>
        <v>10</v>
      </c>
      <c r="AM25" s="14">
        <f t="shared" si="14"/>
        <v>0</v>
      </c>
      <c r="AN25" s="15">
        <f t="shared" si="15"/>
        <v>0</v>
      </c>
      <c r="AO25" s="14">
        <f t="shared" si="16"/>
        <v>0</v>
      </c>
      <c r="AP25" s="15">
        <f t="shared" si="17"/>
        <v>0</v>
      </c>
      <c r="AQ25" s="14">
        <f t="shared" si="18"/>
        <v>0</v>
      </c>
      <c r="AR25" s="15">
        <f t="shared" si="19"/>
        <v>0</v>
      </c>
      <c r="AS25" s="14">
        <f t="shared" si="20"/>
        <v>0</v>
      </c>
      <c r="AT25" s="15">
        <f t="shared" si="21"/>
        <v>0</v>
      </c>
      <c r="AU25" s="14">
        <f t="shared" si="22"/>
        <v>0</v>
      </c>
      <c r="AV25" s="15">
        <f t="shared" si="23"/>
        <v>0</v>
      </c>
      <c r="AW25" s="14">
        <f t="shared" si="24"/>
        <v>-39</v>
      </c>
      <c r="AX25" s="15">
        <f t="shared" si="25"/>
        <v>-15</v>
      </c>
      <c r="AY25" s="14">
        <f t="shared" si="26"/>
        <v>107</v>
      </c>
      <c r="AZ25" s="15">
        <f t="shared" si="27"/>
        <v>40</v>
      </c>
    </row>
    <row r="26" spans="1:52" ht="17.45" customHeight="1">
      <c r="A26" s="7">
        <v>45736</v>
      </c>
      <c r="B26" s="3">
        <v>-30</v>
      </c>
      <c r="C26" s="4">
        <v>-10</v>
      </c>
      <c r="J26" s="3">
        <v>-5</v>
      </c>
      <c r="K26" s="4">
        <v>5</v>
      </c>
      <c r="N26" s="3">
        <v>-17</v>
      </c>
      <c r="O26" s="4">
        <v>-5</v>
      </c>
      <c r="P26" s="3">
        <v>52</v>
      </c>
      <c r="Q26" s="4">
        <v>10</v>
      </c>
      <c r="AB26" s="35">
        <v>45985</v>
      </c>
      <c r="AC26" s="14">
        <f t="shared" si="3"/>
        <v>0</v>
      </c>
      <c r="AD26" s="15">
        <f t="shared" si="5"/>
        <v>0</v>
      </c>
      <c r="AE26" s="14">
        <f t="shared" si="6"/>
        <v>0</v>
      </c>
      <c r="AF26" s="15">
        <f t="shared" si="7"/>
        <v>0</v>
      </c>
      <c r="AG26" s="14">
        <f t="shared" si="8"/>
        <v>0</v>
      </c>
      <c r="AH26" s="15">
        <f t="shared" si="9"/>
        <v>0</v>
      </c>
      <c r="AI26" s="14">
        <f t="shared" si="10"/>
        <v>0</v>
      </c>
      <c r="AJ26" s="15">
        <f t="shared" si="11"/>
        <v>0</v>
      </c>
      <c r="AK26" s="14">
        <f t="shared" si="12"/>
        <v>-51</v>
      </c>
      <c r="AL26" s="15">
        <f t="shared" si="13"/>
        <v>-30</v>
      </c>
      <c r="AM26" s="14">
        <f t="shared" si="14"/>
        <v>0</v>
      </c>
      <c r="AN26" s="15">
        <f t="shared" si="15"/>
        <v>0</v>
      </c>
      <c r="AO26" s="14">
        <f t="shared" si="16"/>
        <v>0</v>
      </c>
      <c r="AP26" s="15">
        <f t="shared" si="17"/>
        <v>0</v>
      </c>
      <c r="AQ26" s="14">
        <f t="shared" si="18"/>
        <v>11</v>
      </c>
      <c r="AR26" s="15">
        <f t="shared" si="19"/>
        <v>-15</v>
      </c>
      <c r="AS26" s="14">
        <f t="shared" si="20"/>
        <v>-5</v>
      </c>
      <c r="AT26" s="15">
        <f t="shared" si="21"/>
        <v>5</v>
      </c>
      <c r="AU26" s="14">
        <f t="shared" si="22"/>
        <v>0</v>
      </c>
      <c r="AV26" s="15">
        <f t="shared" si="23"/>
        <v>0</v>
      </c>
      <c r="AW26" s="14">
        <f t="shared" si="24"/>
        <v>45</v>
      </c>
      <c r="AX26" s="15">
        <f t="shared" si="25"/>
        <v>40</v>
      </c>
      <c r="AY26" s="14">
        <f t="shared" si="26"/>
        <v>0</v>
      </c>
      <c r="AZ26" s="15">
        <f t="shared" si="27"/>
        <v>0</v>
      </c>
    </row>
    <row r="27" spans="1:52" ht="17.45" customHeight="1">
      <c r="A27" s="7">
        <v>45736</v>
      </c>
      <c r="B27" s="5">
        <v>-5</v>
      </c>
      <c r="C27" s="6">
        <v>5</v>
      </c>
      <c r="J27" s="5">
        <v>24</v>
      </c>
      <c r="K27" s="6">
        <v>10</v>
      </c>
      <c r="N27" s="5">
        <v>-10</v>
      </c>
      <c r="O27" s="6">
        <v>-10</v>
      </c>
      <c r="P27" s="5">
        <v>-9</v>
      </c>
      <c r="Q27" s="6">
        <v>-5</v>
      </c>
      <c r="AB27" s="35">
        <v>46380</v>
      </c>
      <c r="AC27" s="14">
        <f t="shared" si="3"/>
        <v>-22</v>
      </c>
      <c r="AD27" s="15">
        <f t="shared" si="5"/>
        <v>0</v>
      </c>
      <c r="AE27" s="14">
        <f t="shared" si="6"/>
        <v>0</v>
      </c>
      <c r="AF27" s="15">
        <f t="shared" si="7"/>
        <v>0</v>
      </c>
      <c r="AG27" s="14">
        <f t="shared" si="8"/>
        <v>0</v>
      </c>
      <c r="AH27" s="15">
        <f t="shared" si="9"/>
        <v>0</v>
      </c>
      <c r="AI27" s="14">
        <f t="shared" si="10"/>
        <v>0</v>
      </c>
      <c r="AJ27" s="15">
        <f t="shared" si="11"/>
        <v>0</v>
      </c>
      <c r="AK27" s="14">
        <f t="shared" si="12"/>
        <v>26</v>
      </c>
      <c r="AL27" s="15">
        <f t="shared" si="13"/>
        <v>-5</v>
      </c>
      <c r="AM27" s="14">
        <f t="shared" si="14"/>
        <v>0</v>
      </c>
      <c r="AN27" s="15">
        <f t="shared" si="15"/>
        <v>0</v>
      </c>
      <c r="AO27" s="14">
        <f t="shared" si="16"/>
        <v>0</v>
      </c>
      <c r="AP27" s="15">
        <f t="shared" si="17"/>
        <v>0</v>
      </c>
      <c r="AQ27" s="14">
        <f t="shared" si="18"/>
        <v>53</v>
      </c>
      <c r="AR27" s="15">
        <f t="shared" si="19"/>
        <v>10</v>
      </c>
      <c r="AS27" s="14">
        <f t="shared" si="20"/>
        <v>0</v>
      </c>
      <c r="AT27" s="15">
        <f t="shared" si="21"/>
        <v>0</v>
      </c>
      <c r="AU27" s="14">
        <f t="shared" si="22"/>
        <v>0</v>
      </c>
      <c r="AV27" s="15">
        <f t="shared" si="23"/>
        <v>0</v>
      </c>
      <c r="AW27" s="14">
        <f t="shared" si="24"/>
        <v>0</v>
      </c>
      <c r="AX27" s="15">
        <f t="shared" si="25"/>
        <v>0</v>
      </c>
      <c r="AY27" s="14">
        <f t="shared" si="26"/>
        <v>0</v>
      </c>
      <c r="AZ27" s="15">
        <f t="shared" si="27"/>
        <v>0</v>
      </c>
    </row>
    <row r="28" spans="1:52" ht="17.45" customHeight="1">
      <c r="A28" s="7">
        <v>45736</v>
      </c>
      <c r="B28" s="3">
        <v>-28</v>
      </c>
      <c r="C28" s="4">
        <v>-10</v>
      </c>
      <c r="J28" s="3">
        <v>29</v>
      </c>
      <c r="K28" s="4">
        <v>10</v>
      </c>
      <c r="N28" s="3">
        <v>-7</v>
      </c>
      <c r="O28" s="4">
        <v>-5</v>
      </c>
      <c r="P28" s="3">
        <v>6</v>
      </c>
      <c r="Q28" s="4">
        <v>5</v>
      </c>
      <c r="AB28" s="32"/>
      <c r="AC28" s="33">
        <f t="shared" si="3"/>
        <v>0</v>
      </c>
      <c r="AD28" s="34">
        <f t="shared" si="5"/>
        <v>0</v>
      </c>
      <c r="AE28" s="33">
        <f t="shared" si="6"/>
        <v>0</v>
      </c>
      <c r="AF28" s="34">
        <f t="shared" si="7"/>
        <v>0</v>
      </c>
      <c r="AG28" s="33">
        <f t="shared" si="8"/>
        <v>0</v>
      </c>
      <c r="AH28" s="34">
        <f t="shared" si="9"/>
        <v>0</v>
      </c>
      <c r="AI28" s="33">
        <f t="shared" si="10"/>
        <v>0</v>
      </c>
      <c r="AJ28" s="34">
        <f t="shared" si="11"/>
        <v>0</v>
      </c>
      <c r="AK28" s="33">
        <f t="shared" si="12"/>
        <v>0</v>
      </c>
      <c r="AL28" s="34">
        <f t="shared" si="13"/>
        <v>0</v>
      </c>
      <c r="AM28" s="33">
        <f t="shared" si="14"/>
        <v>0</v>
      </c>
      <c r="AN28" s="34">
        <f t="shared" si="15"/>
        <v>0</v>
      </c>
      <c r="AO28" s="33">
        <f t="shared" si="16"/>
        <v>0</v>
      </c>
      <c r="AP28" s="34">
        <f t="shared" si="17"/>
        <v>0</v>
      </c>
      <c r="AQ28" s="33">
        <f t="shared" si="18"/>
        <v>0</v>
      </c>
      <c r="AR28" s="34">
        <f t="shared" si="19"/>
        <v>0</v>
      </c>
      <c r="AS28" s="33">
        <f t="shared" si="20"/>
        <v>0</v>
      </c>
      <c r="AT28" s="34">
        <f t="shared" si="21"/>
        <v>0</v>
      </c>
      <c r="AU28" s="33">
        <f t="shared" si="22"/>
        <v>0</v>
      </c>
      <c r="AV28" s="34">
        <f t="shared" si="23"/>
        <v>0</v>
      </c>
      <c r="AW28" s="14">
        <f t="shared" si="24"/>
        <v>0</v>
      </c>
      <c r="AX28" s="15">
        <f t="shared" si="25"/>
        <v>0</v>
      </c>
      <c r="AY28" s="14">
        <f t="shared" si="26"/>
        <v>0</v>
      </c>
      <c r="AZ28" s="15">
        <f t="shared" si="27"/>
        <v>0</v>
      </c>
    </row>
    <row r="29" spans="1:52" ht="17.45" customHeight="1">
      <c r="A29" s="7">
        <v>45736</v>
      </c>
      <c r="B29" s="5">
        <v>25</v>
      </c>
      <c r="C29" s="6">
        <v>10</v>
      </c>
      <c r="J29" s="5">
        <v>1</v>
      </c>
      <c r="K29" s="6">
        <v>5</v>
      </c>
      <c r="N29" s="5">
        <v>-18</v>
      </c>
      <c r="O29" s="6">
        <v>-10</v>
      </c>
      <c r="P29" s="5">
        <v>-8</v>
      </c>
      <c r="Q29" s="6">
        <v>-5</v>
      </c>
      <c r="AB29" s="32"/>
      <c r="AC29" s="33">
        <f t="shared" si="3"/>
        <v>0</v>
      </c>
      <c r="AD29" s="34">
        <f t="shared" si="5"/>
        <v>0</v>
      </c>
      <c r="AE29" s="33">
        <f t="shared" si="6"/>
        <v>0</v>
      </c>
      <c r="AF29" s="34">
        <f t="shared" si="7"/>
        <v>0</v>
      </c>
      <c r="AG29" s="33">
        <f t="shared" si="8"/>
        <v>0</v>
      </c>
      <c r="AH29" s="34">
        <f t="shared" si="9"/>
        <v>0</v>
      </c>
      <c r="AI29" s="33">
        <f t="shared" si="10"/>
        <v>0</v>
      </c>
      <c r="AJ29" s="34">
        <f t="shared" si="11"/>
        <v>0</v>
      </c>
      <c r="AK29" s="33">
        <f t="shared" si="12"/>
        <v>0</v>
      </c>
      <c r="AL29" s="34">
        <f t="shared" si="13"/>
        <v>0</v>
      </c>
      <c r="AM29" s="33">
        <f t="shared" si="14"/>
        <v>0</v>
      </c>
      <c r="AN29" s="34">
        <f t="shared" si="15"/>
        <v>0</v>
      </c>
      <c r="AO29" s="33">
        <f t="shared" si="16"/>
        <v>0</v>
      </c>
      <c r="AP29" s="34">
        <f t="shared" si="17"/>
        <v>0</v>
      </c>
      <c r="AQ29" s="33">
        <f t="shared" si="18"/>
        <v>0</v>
      </c>
      <c r="AR29" s="34">
        <f t="shared" si="19"/>
        <v>0</v>
      </c>
      <c r="AS29" s="33">
        <f t="shared" si="20"/>
        <v>0</v>
      </c>
      <c r="AT29" s="34">
        <f t="shared" si="21"/>
        <v>0</v>
      </c>
      <c r="AU29" s="33">
        <f t="shared" si="22"/>
        <v>0</v>
      </c>
      <c r="AV29" s="34">
        <f t="shared" si="23"/>
        <v>0</v>
      </c>
      <c r="AW29" s="14">
        <f t="shared" si="24"/>
        <v>0</v>
      </c>
      <c r="AX29" s="15">
        <f t="shared" si="25"/>
        <v>0</v>
      </c>
      <c r="AY29" s="14">
        <f t="shared" si="26"/>
        <v>0</v>
      </c>
      <c r="AZ29" s="15">
        <f t="shared" si="27"/>
        <v>0</v>
      </c>
    </row>
    <row r="30" spans="1:52" ht="17.45" customHeight="1">
      <c r="A30" s="7">
        <v>45738</v>
      </c>
      <c r="B30" s="3">
        <v>-4</v>
      </c>
      <c r="C30" s="4">
        <v>5</v>
      </c>
      <c r="J30" s="3">
        <v>-10</v>
      </c>
      <c r="K30" s="4">
        <v>-5</v>
      </c>
      <c r="P30" s="3">
        <v>-11</v>
      </c>
      <c r="Q30" s="4">
        <v>-10</v>
      </c>
      <c r="R30" s="3">
        <v>25</v>
      </c>
      <c r="S30" s="4">
        <v>10</v>
      </c>
      <c r="AB30" s="32"/>
      <c r="AC30" s="33">
        <f t="shared" si="3"/>
        <v>0</v>
      </c>
      <c r="AD30" s="34">
        <f t="shared" si="5"/>
        <v>0</v>
      </c>
      <c r="AE30" s="33">
        <f t="shared" si="6"/>
        <v>0</v>
      </c>
      <c r="AF30" s="34">
        <f t="shared" si="7"/>
        <v>0</v>
      </c>
      <c r="AG30" s="33">
        <f t="shared" si="8"/>
        <v>0</v>
      </c>
      <c r="AH30" s="34">
        <f t="shared" si="9"/>
        <v>0</v>
      </c>
      <c r="AI30" s="33">
        <f t="shared" si="10"/>
        <v>0</v>
      </c>
      <c r="AJ30" s="34">
        <f t="shared" si="11"/>
        <v>0</v>
      </c>
      <c r="AK30" s="33">
        <f t="shared" si="12"/>
        <v>0</v>
      </c>
      <c r="AL30" s="34">
        <f t="shared" si="13"/>
        <v>0</v>
      </c>
      <c r="AM30" s="33">
        <f t="shared" si="14"/>
        <v>0</v>
      </c>
      <c r="AN30" s="34">
        <f t="shared" si="15"/>
        <v>0</v>
      </c>
      <c r="AO30" s="33">
        <f t="shared" si="16"/>
        <v>0</v>
      </c>
      <c r="AP30" s="34">
        <f t="shared" si="17"/>
        <v>0</v>
      </c>
      <c r="AQ30" s="33">
        <f t="shared" si="18"/>
        <v>0</v>
      </c>
      <c r="AR30" s="34">
        <f t="shared" si="19"/>
        <v>0</v>
      </c>
      <c r="AS30" s="33">
        <f t="shared" si="20"/>
        <v>0</v>
      </c>
      <c r="AT30" s="34">
        <f t="shared" si="21"/>
        <v>0</v>
      </c>
      <c r="AU30" s="33">
        <f t="shared" si="22"/>
        <v>0</v>
      </c>
      <c r="AV30" s="34">
        <f t="shared" si="23"/>
        <v>0</v>
      </c>
      <c r="AW30" s="14">
        <f t="shared" si="24"/>
        <v>0</v>
      </c>
      <c r="AX30" s="15">
        <f t="shared" si="25"/>
        <v>0</v>
      </c>
      <c r="AY30" s="14">
        <f t="shared" si="26"/>
        <v>0</v>
      </c>
      <c r="AZ30" s="15">
        <f t="shared" si="27"/>
        <v>0</v>
      </c>
    </row>
    <row r="31" spans="1:52" ht="17.45" customHeight="1">
      <c r="A31" s="7">
        <v>45738</v>
      </c>
      <c r="B31" s="5">
        <v>-9</v>
      </c>
      <c r="C31" s="6">
        <v>-5</v>
      </c>
      <c r="J31" s="5">
        <v>42</v>
      </c>
      <c r="K31" s="6">
        <v>10</v>
      </c>
      <c r="P31" s="5">
        <v>-31</v>
      </c>
      <c r="Q31" s="6">
        <v>-10</v>
      </c>
      <c r="R31" s="5">
        <v>-2</v>
      </c>
      <c r="S31" s="6">
        <v>5</v>
      </c>
      <c r="AB31" s="32"/>
      <c r="AC31" s="33">
        <f t="shared" si="3"/>
        <v>0</v>
      </c>
      <c r="AD31" s="34">
        <f t="shared" si="5"/>
        <v>0</v>
      </c>
      <c r="AE31" s="33">
        <f t="shared" si="6"/>
        <v>0</v>
      </c>
      <c r="AF31" s="34">
        <f t="shared" si="7"/>
        <v>0</v>
      </c>
      <c r="AG31" s="33">
        <f t="shared" si="8"/>
        <v>0</v>
      </c>
      <c r="AH31" s="34">
        <f t="shared" si="9"/>
        <v>0</v>
      </c>
      <c r="AI31" s="33">
        <f t="shared" si="10"/>
        <v>0</v>
      </c>
      <c r="AJ31" s="34">
        <f t="shared" si="11"/>
        <v>0</v>
      </c>
      <c r="AK31" s="33">
        <f t="shared" si="12"/>
        <v>0</v>
      </c>
      <c r="AL31" s="34">
        <f t="shared" si="13"/>
        <v>0</v>
      </c>
      <c r="AM31" s="33">
        <f t="shared" si="14"/>
        <v>0</v>
      </c>
      <c r="AN31" s="34">
        <f t="shared" si="15"/>
        <v>0</v>
      </c>
      <c r="AO31" s="33">
        <f t="shared" si="16"/>
        <v>0</v>
      </c>
      <c r="AP31" s="34">
        <f t="shared" si="17"/>
        <v>0</v>
      </c>
      <c r="AQ31" s="33">
        <f t="shared" si="18"/>
        <v>0</v>
      </c>
      <c r="AR31" s="34">
        <f t="shared" si="19"/>
        <v>0</v>
      </c>
      <c r="AS31" s="33">
        <f t="shared" si="20"/>
        <v>0</v>
      </c>
      <c r="AT31" s="34">
        <f t="shared" si="21"/>
        <v>0</v>
      </c>
      <c r="AU31" s="33">
        <f t="shared" si="22"/>
        <v>0</v>
      </c>
      <c r="AV31" s="34">
        <f t="shared" si="23"/>
        <v>0</v>
      </c>
      <c r="AW31" s="14">
        <f t="shared" si="24"/>
        <v>0</v>
      </c>
      <c r="AX31" s="15">
        <f t="shared" si="25"/>
        <v>0</v>
      </c>
      <c r="AY31" s="14">
        <f t="shared" si="26"/>
        <v>0</v>
      </c>
      <c r="AZ31" s="15">
        <f t="shared" si="27"/>
        <v>0</v>
      </c>
    </row>
    <row r="32" spans="1:52" ht="17.45" customHeight="1">
      <c r="A32" s="7">
        <v>45738</v>
      </c>
      <c r="B32" s="3">
        <v>-11</v>
      </c>
      <c r="C32" s="4">
        <v>-10</v>
      </c>
      <c r="J32" s="3">
        <v>27</v>
      </c>
      <c r="K32" s="4">
        <v>10</v>
      </c>
      <c r="P32" s="3">
        <v>-7</v>
      </c>
      <c r="Q32" s="4">
        <v>5</v>
      </c>
      <c r="R32" s="3">
        <v>-9</v>
      </c>
      <c r="S32" s="4">
        <v>-5</v>
      </c>
      <c r="AB32" s="32"/>
      <c r="AC32" s="33">
        <f t="shared" si="3"/>
        <v>0</v>
      </c>
      <c r="AD32" s="34">
        <f t="shared" si="5"/>
        <v>0</v>
      </c>
      <c r="AE32" s="33">
        <f t="shared" si="6"/>
        <v>0</v>
      </c>
      <c r="AF32" s="34">
        <f t="shared" si="7"/>
        <v>0</v>
      </c>
      <c r="AG32" s="33">
        <f t="shared" si="8"/>
        <v>0</v>
      </c>
      <c r="AH32" s="34">
        <f t="shared" si="9"/>
        <v>0</v>
      </c>
      <c r="AI32" s="33">
        <f t="shared" si="10"/>
        <v>0</v>
      </c>
      <c r="AJ32" s="34">
        <f t="shared" si="11"/>
        <v>0</v>
      </c>
      <c r="AK32" s="33">
        <f t="shared" si="12"/>
        <v>0</v>
      </c>
      <c r="AL32" s="34">
        <f t="shared" si="13"/>
        <v>0</v>
      </c>
      <c r="AM32" s="33">
        <f t="shared" si="14"/>
        <v>0</v>
      </c>
      <c r="AN32" s="34">
        <f t="shared" si="15"/>
        <v>0</v>
      </c>
      <c r="AO32" s="33">
        <f t="shared" si="16"/>
        <v>0</v>
      </c>
      <c r="AP32" s="34">
        <f t="shared" si="17"/>
        <v>0</v>
      </c>
      <c r="AQ32" s="33">
        <f t="shared" si="18"/>
        <v>0</v>
      </c>
      <c r="AR32" s="34">
        <f t="shared" si="19"/>
        <v>0</v>
      </c>
      <c r="AS32" s="33">
        <f t="shared" si="20"/>
        <v>0</v>
      </c>
      <c r="AT32" s="34">
        <f t="shared" si="21"/>
        <v>0</v>
      </c>
      <c r="AU32" s="33">
        <f t="shared" si="22"/>
        <v>0</v>
      </c>
      <c r="AV32" s="34">
        <f t="shared" si="23"/>
        <v>0</v>
      </c>
      <c r="AW32" s="14">
        <f t="shared" si="24"/>
        <v>0</v>
      </c>
      <c r="AX32" s="15">
        <f t="shared" si="25"/>
        <v>0</v>
      </c>
      <c r="AY32" s="14">
        <f t="shared" si="26"/>
        <v>0</v>
      </c>
      <c r="AZ32" s="15">
        <f t="shared" si="27"/>
        <v>0</v>
      </c>
    </row>
    <row r="33" spans="1:52" ht="17.45" customHeight="1">
      <c r="A33" s="7">
        <v>45738</v>
      </c>
      <c r="B33" s="5">
        <v>-20</v>
      </c>
      <c r="C33" s="6">
        <v>-5</v>
      </c>
      <c r="J33" s="5">
        <v>7</v>
      </c>
      <c r="K33" s="6">
        <v>5</v>
      </c>
      <c r="P33" s="5">
        <v>37</v>
      </c>
      <c r="Q33" s="6">
        <v>10</v>
      </c>
      <c r="R33" s="5">
        <v>-24</v>
      </c>
      <c r="S33" s="6">
        <v>-10</v>
      </c>
      <c r="AB33" s="32"/>
      <c r="AC33" s="33">
        <f t="shared" si="3"/>
        <v>0</v>
      </c>
      <c r="AD33" s="34">
        <f t="shared" si="5"/>
        <v>0</v>
      </c>
      <c r="AE33" s="33">
        <f t="shared" si="6"/>
        <v>0</v>
      </c>
      <c r="AF33" s="34">
        <f t="shared" si="7"/>
        <v>0</v>
      </c>
      <c r="AG33" s="33">
        <f t="shared" si="8"/>
        <v>0</v>
      </c>
      <c r="AH33" s="34">
        <f t="shared" si="9"/>
        <v>0</v>
      </c>
      <c r="AI33" s="33">
        <f t="shared" si="10"/>
        <v>0</v>
      </c>
      <c r="AJ33" s="34">
        <f t="shared" si="11"/>
        <v>0</v>
      </c>
      <c r="AK33" s="33">
        <f t="shared" si="12"/>
        <v>0</v>
      </c>
      <c r="AL33" s="34">
        <f t="shared" si="13"/>
        <v>0</v>
      </c>
      <c r="AM33" s="33">
        <f t="shared" si="14"/>
        <v>0</v>
      </c>
      <c r="AN33" s="34">
        <f t="shared" si="15"/>
        <v>0</v>
      </c>
      <c r="AO33" s="33">
        <f t="shared" si="16"/>
        <v>0</v>
      </c>
      <c r="AP33" s="34">
        <f t="shared" si="17"/>
        <v>0</v>
      </c>
      <c r="AQ33" s="33">
        <f t="shared" si="18"/>
        <v>0</v>
      </c>
      <c r="AR33" s="34">
        <f t="shared" si="19"/>
        <v>0</v>
      </c>
      <c r="AS33" s="33">
        <f t="shared" si="20"/>
        <v>0</v>
      </c>
      <c r="AT33" s="34">
        <f t="shared" si="21"/>
        <v>0</v>
      </c>
      <c r="AU33" s="33">
        <f t="shared" si="22"/>
        <v>0</v>
      </c>
      <c r="AV33" s="34">
        <f t="shared" si="23"/>
        <v>0</v>
      </c>
      <c r="AW33" s="14">
        <f t="shared" si="24"/>
        <v>0</v>
      </c>
      <c r="AX33" s="15">
        <f t="shared" si="25"/>
        <v>0</v>
      </c>
      <c r="AY33" s="14">
        <f t="shared" si="26"/>
        <v>0</v>
      </c>
      <c r="AZ33" s="15">
        <f t="shared" si="27"/>
        <v>0</v>
      </c>
    </row>
    <row r="34" spans="1:52" ht="17.45" customHeight="1">
      <c r="A34" s="7">
        <v>45738</v>
      </c>
      <c r="B34" s="3">
        <v>-20</v>
      </c>
      <c r="C34" s="4">
        <v>-10</v>
      </c>
      <c r="J34" s="3">
        <v>-5</v>
      </c>
      <c r="K34" s="4">
        <v>-5</v>
      </c>
      <c r="P34" s="3">
        <v>26</v>
      </c>
      <c r="Q34" s="4">
        <v>10</v>
      </c>
      <c r="R34" s="3">
        <v>-1</v>
      </c>
      <c r="S34" s="4">
        <v>5</v>
      </c>
      <c r="AB34" s="32"/>
      <c r="AC34" s="33">
        <f t="shared" si="3"/>
        <v>0</v>
      </c>
      <c r="AD34" s="34">
        <f t="shared" si="5"/>
        <v>0</v>
      </c>
      <c r="AE34" s="33">
        <f t="shared" si="6"/>
        <v>0</v>
      </c>
      <c r="AF34" s="34">
        <f t="shared" si="7"/>
        <v>0</v>
      </c>
      <c r="AG34" s="33">
        <f t="shared" si="8"/>
        <v>0</v>
      </c>
      <c r="AH34" s="34">
        <f t="shared" si="9"/>
        <v>0</v>
      </c>
      <c r="AI34" s="33">
        <f t="shared" si="10"/>
        <v>0</v>
      </c>
      <c r="AJ34" s="34">
        <f t="shared" si="11"/>
        <v>0</v>
      </c>
      <c r="AK34" s="33">
        <f t="shared" si="12"/>
        <v>0</v>
      </c>
      <c r="AL34" s="34">
        <f t="shared" si="13"/>
        <v>0</v>
      </c>
      <c r="AM34" s="33">
        <f t="shared" si="14"/>
        <v>0</v>
      </c>
      <c r="AN34" s="34">
        <f t="shared" si="15"/>
        <v>0</v>
      </c>
      <c r="AO34" s="33">
        <f t="shared" si="16"/>
        <v>0</v>
      </c>
      <c r="AP34" s="34">
        <f t="shared" si="17"/>
        <v>0</v>
      </c>
      <c r="AQ34" s="33">
        <f t="shared" si="18"/>
        <v>0</v>
      </c>
      <c r="AR34" s="34">
        <f t="shared" si="19"/>
        <v>0</v>
      </c>
      <c r="AS34" s="33">
        <f t="shared" si="20"/>
        <v>0</v>
      </c>
      <c r="AT34" s="34">
        <f t="shared" si="21"/>
        <v>0</v>
      </c>
      <c r="AU34" s="33">
        <f t="shared" si="22"/>
        <v>0</v>
      </c>
      <c r="AV34" s="34">
        <f t="shared" si="23"/>
        <v>0</v>
      </c>
      <c r="AW34" s="14">
        <f t="shared" si="24"/>
        <v>0</v>
      </c>
      <c r="AX34" s="15">
        <f t="shared" si="25"/>
        <v>0</v>
      </c>
      <c r="AY34" s="14">
        <f t="shared" si="26"/>
        <v>0</v>
      </c>
      <c r="AZ34" s="15">
        <f t="shared" si="27"/>
        <v>0</v>
      </c>
    </row>
    <row r="35" spans="1:52" ht="17.45" customHeight="1">
      <c r="A35" s="7">
        <v>45738</v>
      </c>
      <c r="B35" s="5">
        <v>49</v>
      </c>
      <c r="C35" s="6">
        <v>10</v>
      </c>
      <c r="J35" s="5">
        <v>5</v>
      </c>
      <c r="K35" s="6">
        <v>5</v>
      </c>
      <c r="P35" s="5">
        <v>-23</v>
      </c>
      <c r="Q35" s="6">
        <v>-5</v>
      </c>
      <c r="R35" s="5">
        <v>-31</v>
      </c>
      <c r="S35" s="6">
        <v>-10</v>
      </c>
      <c r="AA35" s="29" t="s">
        <v>28</v>
      </c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</row>
    <row r="36" spans="1:52" ht="17.45" customHeight="1">
      <c r="A36" s="7">
        <v>45738</v>
      </c>
      <c r="B36" s="3">
        <v>-33</v>
      </c>
      <c r="C36" s="4">
        <v>-10</v>
      </c>
      <c r="J36" s="3">
        <v>-4</v>
      </c>
      <c r="K36" s="4">
        <v>-5</v>
      </c>
      <c r="P36" s="3">
        <v>27</v>
      </c>
      <c r="Q36" s="4">
        <v>10</v>
      </c>
      <c r="R36" s="3">
        <v>10</v>
      </c>
      <c r="S36" s="4">
        <v>5</v>
      </c>
      <c r="AA36" s="30" t="s">
        <v>29</v>
      </c>
      <c r="AB36" s="30"/>
      <c r="AC36" s="31">
        <f>(AC2*30)+(AC3*10)+(AC4*-10)+(AC5*-30)</f>
        <v>-600</v>
      </c>
      <c r="AD36" s="31"/>
      <c r="AE36" s="31">
        <f>(AE2*30)+(AE3*10)+(AE4*-10)+(AE5*-30)</f>
        <v>0</v>
      </c>
      <c r="AF36" s="31"/>
      <c r="AG36" s="31">
        <f>(AG2*30)+(AG3*10)+(AG4*-10)+(AG5*-30)</f>
        <v>50</v>
      </c>
      <c r="AH36" s="31"/>
      <c r="AI36" s="31">
        <f>(AI2*30)+(AI3*10)+(AI4*-10)+(AI5*-30)</f>
        <v>-10</v>
      </c>
      <c r="AJ36" s="31"/>
      <c r="AK36" s="31">
        <f>(AK2*30)+(AK3*10)+(AK4*-10)+(AK5*-30)</f>
        <v>20</v>
      </c>
      <c r="AL36" s="31"/>
      <c r="AM36" s="31">
        <f>(AM2*30)+(AM3*10)+(AM4*-10)+(AM5*-30)</f>
        <v>60</v>
      </c>
      <c r="AN36" s="31"/>
      <c r="AO36" s="31">
        <f>(AO2*30)+(AO3*10)+(AO4*-10)+(AO5*-30)</f>
        <v>-190</v>
      </c>
      <c r="AP36" s="31"/>
      <c r="AQ36" s="31">
        <f>(AQ2*30)+(AQ3*10)+(AQ4*-10)+(AQ5*-30)</f>
        <v>420</v>
      </c>
      <c r="AR36" s="31"/>
      <c r="AS36" s="31">
        <f>(AS2*30)+(AS3*10)+(AS4*-10)+(AS5*-30)</f>
        <v>-290</v>
      </c>
      <c r="AT36" s="31"/>
      <c r="AU36" s="31">
        <f>(AU2*30)+(AU3*10)+(AU4*-10)+(AU5*-30)</f>
        <v>70</v>
      </c>
      <c r="AV36" s="31"/>
      <c r="AW36" s="31">
        <f>(AW2*30)+(AW3*10)+(AW4*-10)+(AW5*-30)</f>
        <v>360</v>
      </c>
      <c r="AX36" s="31"/>
      <c r="AY36" s="31">
        <f>(AY2*30)+(AY3*10)+(AY4*-10)+(AY5*-30)</f>
        <v>120</v>
      </c>
      <c r="AZ36" s="31"/>
    </row>
    <row r="37" spans="1:52" ht="17.45" customHeight="1">
      <c r="A37" s="7">
        <v>45738</v>
      </c>
      <c r="B37" s="5">
        <v>-11</v>
      </c>
      <c r="C37" s="6">
        <v>-5</v>
      </c>
      <c r="J37" s="5">
        <v>-19</v>
      </c>
      <c r="K37" s="6">
        <v>-10</v>
      </c>
      <c r="P37" s="5">
        <v>5</v>
      </c>
      <c r="Q37" s="6">
        <v>5</v>
      </c>
      <c r="R37" s="5">
        <v>25</v>
      </c>
      <c r="S37" s="6">
        <v>10</v>
      </c>
      <c r="AA37" s="30" t="s">
        <v>30</v>
      </c>
      <c r="AB37" s="30"/>
      <c r="AC37" s="31">
        <f>RANK(AC36,$AC36:$AZ36)</f>
        <v>12</v>
      </c>
      <c r="AD37" s="31"/>
      <c r="AE37" s="31">
        <f>RANK(AE36,$AC36:$AZ36)</f>
        <v>8</v>
      </c>
      <c r="AF37" s="31"/>
      <c r="AG37" s="31">
        <f>RANK(AG36,$AC36:$AZ36)</f>
        <v>6</v>
      </c>
      <c r="AH37" s="31"/>
      <c r="AI37" s="31">
        <f>RANK(AI36,$AC36:$AZ36)</f>
        <v>9</v>
      </c>
      <c r="AJ37" s="31"/>
      <c r="AK37" s="31">
        <f>RANK(AK36,$AC36:$AZ36)</f>
        <v>7</v>
      </c>
      <c r="AL37" s="31"/>
      <c r="AM37" s="31">
        <f>RANK(AM36,$AC36:$AZ36)</f>
        <v>5</v>
      </c>
      <c r="AN37" s="31"/>
      <c r="AO37" s="31">
        <f>RANK(AO36,$AC36:$AZ36)</f>
        <v>10</v>
      </c>
      <c r="AP37" s="31"/>
      <c r="AQ37" s="31">
        <f>RANK(AQ36,$AC36:$AZ36)</f>
        <v>1</v>
      </c>
      <c r="AR37" s="31"/>
      <c r="AS37" s="31">
        <f>RANK(AS36,$AC36:$AZ36)</f>
        <v>11</v>
      </c>
      <c r="AT37" s="31"/>
      <c r="AU37" s="31">
        <f>RANK(AU36,$AC36:$AZ36)</f>
        <v>4</v>
      </c>
      <c r="AV37" s="31"/>
      <c r="AW37" s="31">
        <f>RANK(AW36,$AC36:$AZ36)</f>
        <v>2</v>
      </c>
      <c r="AX37" s="31"/>
      <c r="AY37" s="31">
        <f>RANK(AY36,$AC36:$AZ36)</f>
        <v>3</v>
      </c>
      <c r="AZ37" s="31"/>
    </row>
    <row r="38" spans="1:52" ht="17.45" customHeight="1">
      <c r="A38" s="7">
        <v>45738</v>
      </c>
      <c r="B38" s="3">
        <v>45</v>
      </c>
      <c r="C38" s="4">
        <v>10</v>
      </c>
      <c r="J38" s="3">
        <v>-3</v>
      </c>
      <c r="K38" s="4">
        <v>5</v>
      </c>
      <c r="P38" s="3">
        <v>-20</v>
      </c>
      <c r="Q38" s="4">
        <v>-5</v>
      </c>
      <c r="R38" s="3">
        <v>-22</v>
      </c>
      <c r="S38" s="4">
        <v>-10</v>
      </c>
    </row>
    <row r="39" spans="1:52" ht="17.45" customHeight="1">
      <c r="A39" s="7">
        <v>45738</v>
      </c>
      <c r="B39" s="5">
        <v>26</v>
      </c>
      <c r="C39" s="6">
        <v>10</v>
      </c>
      <c r="J39" s="5">
        <v>-5</v>
      </c>
      <c r="K39" s="6">
        <v>-5</v>
      </c>
      <c r="P39" s="5">
        <v>-30</v>
      </c>
      <c r="Q39" s="6">
        <v>-10</v>
      </c>
      <c r="R39" s="5">
        <v>9</v>
      </c>
      <c r="S39" s="6">
        <v>5</v>
      </c>
      <c r="AB39" s="7"/>
    </row>
    <row r="40" spans="1:52" ht="17.45" customHeight="1">
      <c r="A40" s="7">
        <v>45738</v>
      </c>
      <c r="B40" s="3">
        <v>9</v>
      </c>
      <c r="C40" s="4">
        <v>5</v>
      </c>
      <c r="J40" s="3">
        <v>-10</v>
      </c>
      <c r="K40" s="4">
        <v>-5</v>
      </c>
      <c r="P40" s="3">
        <v>-31</v>
      </c>
      <c r="Q40" s="4">
        <v>-10</v>
      </c>
      <c r="R40" s="3">
        <v>32</v>
      </c>
      <c r="S40" s="4">
        <v>10</v>
      </c>
      <c r="AB40" s="7"/>
    </row>
    <row r="41" spans="1:52" ht="17.45" customHeight="1">
      <c r="A41" s="7">
        <v>45738</v>
      </c>
      <c r="B41" s="5">
        <v>-10</v>
      </c>
      <c r="C41" s="6">
        <v>-10</v>
      </c>
      <c r="J41" s="5">
        <v>-5</v>
      </c>
      <c r="K41" s="6">
        <v>-5</v>
      </c>
      <c r="P41" s="5">
        <v>-3</v>
      </c>
      <c r="Q41" s="6">
        <v>5</v>
      </c>
      <c r="R41" s="5">
        <v>18</v>
      </c>
      <c r="S41" s="6">
        <v>10</v>
      </c>
      <c r="AB41" s="7"/>
    </row>
    <row r="42" spans="1:52" ht="17.45" customHeight="1">
      <c r="A42" s="7">
        <v>45759</v>
      </c>
      <c r="B42" s="3">
        <v>28</v>
      </c>
      <c r="C42" s="4">
        <v>10</v>
      </c>
      <c r="J42" s="3">
        <v>-15</v>
      </c>
      <c r="K42" s="4">
        <v>-10</v>
      </c>
      <c r="P42" s="3">
        <v>-5</v>
      </c>
      <c r="Q42" s="4">
        <v>5</v>
      </c>
      <c r="R42" s="3">
        <v>-8</v>
      </c>
      <c r="S42" s="4">
        <v>-5</v>
      </c>
      <c r="AB42" s="7"/>
    </row>
    <row r="43" spans="1:52" ht="17.45" customHeight="1">
      <c r="A43" s="7">
        <v>45759</v>
      </c>
      <c r="B43" s="5">
        <v>1</v>
      </c>
      <c r="C43" s="6">
        <v>-5</v>
      </c>
      <c r="J43" s="5">
        <v>24</v>
      </c>
      <c r="K43" s="6">
        <v>10</v>
      </c>
      <c r="P43" s="5">
        <v>5</v>
      </c>
      <c r="Q43" s="6">
        <v>5</v>
      </c>
      <c r="R43" s="5">
        <v>-30</v>
      </c>
      <c r="S43" s="6">
        <v>-10</v>
      </c>
      <c r="AB43" s="7"/>
    </row>
    <row r="44" spans="1:52" ht="17.45" customHeight="1">
      <c r="A44" s="7">
        <v>45759</v>
      </c>
      <c r="B44" s="3">
        <v>-26</v>
      </c>
      <c r="C44" s="4">
        <v>-10</v>
      </c>
      <c r="J44" s="3">
        <v>27</v>
      </c>
      <c r="K44" s="4">
        <v>10</v>
      </c>
      <c r="P44" s="3">
        <v>4</v>
      </c>
      <c r="Q44" s="4">
        <v>5</v>
      </c>
      <c r="R44" s="3">
        <v>-5</v>
      </c>
      <c r="S44" s="4">
        <v>-5</v>
      </c>
      <c r="AB44" s="7"/>
    </row>
    <row r="45" spans="1:52" ht="17.45" customHeight="1">
      <c r="A45" s="7">
        <v>45759</v>
      </c>
      <c r="B45" s="5">
        <v>24</v>
      </c>
      <c r="C45" s="6">
        <v>10</v>
      </c>
      <c r="J45" s="5">
        <v>3</v>
      </c>
      <c r="K45" s="6">
        <v>5</v>
      </c>
      <c r="P45" s="5">
        <v>-4</v>
      </c>
      <c r="Q45" s="6">
        <v>-5</v>
      </c>
      <c r="R45" s="5">
        <v>-23</v>
      </c>
      <c r="S45" s="6">
        <v>-10</v>
      </c>
      <c r="AB45" s="7"/>
    </row>
    <row r="46" spans="1:52" ht="17.45" customHeight="1">
      <c r="A46" s="7">
        <v>45759</v>
      </c>
      <c r="B46" s="3">
        <v>-8</v>
      </c>
      <c r="C46" s="4">
        <v>-5</v>
      </c>
      <c r="J46" s="3">
        <v>38</v>
      </c>
      <c r="K46" s="4">
        <v>10</v>
      </c>
      <c r="P46" s="3">
        <v>-5</v>
      </c>
      <c r="Q46" s="4">
        <v>5</v>
      </c>
      <c r="R46" s="3">
        <v>-25</v>
      </c>
      <c r="S46" s="4">
        <v>-10</v>
      </c>
      <c r="AB46" s="7"/>
    </row>
    <row r="47" spans="1:52" ht="17.45" customHeight="1">
      <c r="A47" s="7">
        <v>45759</v>
      </c>
      <c r="B47" s="5">
        <v>43</v>
      </c>
      <c r="C47" s="6">
        <v>10</v>
      </c>
      <c r="J47" s="5">
        <v>-34</v>
      </c>
      <c r="K47" s="6">
        <v>-10</v>
      </c>
      <c r="P47" s="5">
        <v>14</v>
      </c>
      <c r="Q47" s="6">
        <v>5</v>
      </c>
      <c r="R47" s="5">
        <v>-23</v>
      </c>
      <c r="S47" s="6">
        <v>-5</v>
      </c>
      <c r="AB47" s="7"/>
    </row>
    <row r="48" spans="1:52" ht="17.45" customHeight="1">
      <c r="A48" s="7">
        <v>45759</v>
      </c>
      <c r="B48" s="3">
        <v>6</v>
      </c>
      <c r="C48" s="4">
        <v>5</v>
      </c>
      <c r="J48" s="3">
        <v>-22</v>
      </c>
      <c r="K48" s="4">
        <v>-10</v>
      </c>
      <c r="P48" s="3">
        <v>-15</v>
      </c>
      <c r="Q48" s="4">
        <v>-5</v>
      </c>
      <c r="R48" s="3">
        <v>31</v>
      </c>
      <c r="S48" s="4">
        <v>10</v>
      </c>
      <c r="AB48" s="7"/>
    </row>
    <row r="49" spans="1:28" ht="17.45" customHeight="1">
      <c r="A49" s="7">
        <v>45759</v>
      </c>
      <c r="B49" s="5">
        <v>2</v>
      </c>
      <c r="C49" s="6">
        <v>5</v>
      </c>
      <c r="J49" s="5">
        <v>17</v>
      </c>
      <c r="K49" s="6">
        <v>10</v>
      </c>
      <c r="P49" s="5">
        <v>-14</v>
      </c>
      <c r="Q49" s="6">
        <v>-10</v>
      </c>
      <c r="R49" s="5">
        <v>-5</v>
      </c>
      <c r="S49" s="6">
        <v>-5</v>
      </c>
      <c r="AB49" s="7"/>
    </row>
    <row r="50" spans="1:28" ht="17.45" customHeight="1">
      <c r="A50" s="7">
        <v>45759</v>
      </c>
      <c r="B50" s="3">
        <v>-8</v>
      </c>
      <c r="C50" s="4">
        <v>-5</v>
      </c>
      <c r="J50" s="3">
        <v>39</v>
      </c>
      <c r="K50" s="4">
        <v>10</v>
      </c>
      <c r="P50" s="3">
        <v>4</v>
      </c>
      <c r="Q50" s="4">
        <v>5</v>
      </c>
      <c r="R50" s="3">
        <v>-35</v>
      </c>
      <c r="S50" s="4">
        <v>-10</v>
      </c>
      <c r="AB50" s="7"/>
    </row>
    <row r="51" spans="1:28" ht="17.45" customHeight="1">
      <c r="A51" s="7">
        <v>45759</v>
      </c>
      <c r="B51" s="5">
        <v>25</v>
      </c>
      <c r="C51" s="6">
        <v>10</v>
      </c>
      <c r="J51" s="5">
        <v>-5</v>
      </c>
      <c r="K51" s="6">
        <v>-5</v>
      </c>
      <c r="P51" s="5">
        <v>-4</v>
      </c>
      <c r="Q51" s="6">
        <v>5</v>
      </c>
      <c r="R51" s="5">
        <v>-16</v>
      </c>
      <c r="S51" s="6">
        <v>-10</v>
      </c>
      <c r="AB51" s="7"/>
    </row>
    <row r="52" spans="1:28" ht="17.45" customHeight="1">
      <c r="A52" s="7">
        <v>45759</v>
      </c>
      <c r="B52" s="3">
        <v>18</v>
      </c>
      <c r="C52" s="4">
        <v>10</v>
      </c>
      <c r="J52" s="3">
        <v>2</v>
      </c>
      <c r="K52" s="4">
        <v>5</v>
      </c>
      <c r="P52" s="3">
        <v>-16</v>
      </c>
      <c r="Q52" s="4">
        <v>-10</v>
      </c>
      <c r="R52" s="3">
        <v>-4</v>
      </c>
      <c r="S52" s="4">
        <v>-5</v>
      </c>
      <c r="AB52" s="7"/>
    </row>
    <row r="53" spans="1:28" ht="17.45" customHeight="1">
      <c r="A53" s="7">
        <v>45759</v>
      </c>
      <c r="B53" s="5">
        <v>33</v>
      </c>
      <c r="C53" s="6">
        <v>10</v>
      </c>
      <c r="J53" s="5">
        <v>-8</v>
      </c>
      <c r="K53" s="6">
        <v>5</v>
      </c>
      <c r="P53" s="5">
        <v>-16</v>
      </c>
      <c r="Q53" s="6">
        <v>-10</v>
      </c>
      <c r="R53" s="5">
        <v>-9</v>
      </c>
      <c r="S53" s="6">
        <v>-5</v>
      </c>
      <c r="AB53" s="7"/>
    </row>
    <row r="54" spans="1:28" ht="17.45" customHeight="1">
      <c r="A54" s="7">
        <v>45783</v>
      </c>
      <c r="B54" s="3">
        <v>0</v>
      </c>
      <c r="C54" s="4">
        <v>-5</v>
      </c>
      <c r="J54" s="3">
        <v>-41</v>
      </c>
      <c r="K54" s="4">
        <v>-10</v>
      </c>
      <c r="P54" s="3">
        <v>41</v>
      </c>
      <c r="Q54" s="4">
        <v>10</v>
      </c>
      <c r="V54" s="3">
        <v>0</v>
      </c>
      <c r="W54" s="4">
        <v>5</v>
      </c>
      <c r="X54" s="36"/>
      <c r="Y54" s="36"/>
      <c r="AB54" s="7"/>
    </row>
    <row r="55" spans="1:28" ht="16.899999999999999" customHeight="1">
      <c r="A55" s="7">
        <v>45783</v>
      </c>
      <c r="B55" s="5">
        <v>-2</v>
      </c>
      <c r="C55" s="6">
        <v>5</v>
      </c>
      <c r="J55" s="5">
        <v>29</v>
      </c>
      <c r="K55" s="6">
        <v>10</v>
      </c>
      <c r="P55" s="5">
        <v>-11</v>
      </c>
      <c r="Q55" s="6">
        <v>-5</v>
      </c>
      <c r="V55" s="5">
        <v>-16</v>
      </c>
      <c r="W55" s="6">
        <v>-10</v>
      </c>
      <c r="X55" s="36"/>
      <c r="Y55" s="36"/>
      <c r="AB55" s="7"/>
    </row>
    <row r="56" spans="1:28" ht="17.45" customHeight="1">
      <c r="A56" s="7">
        <v>45783</v>
      </c>
      <c r="B56" s="3">
        <v>-4</v>
      </c>
      <c r="C56" s="4">
        <v>-5</v>
      </c>
      <c r="J56" s="3">
        <v>-17</v>
      </c>
      <c r="K56" s="4">
        <v>-10</v>
      </c>
      <c r="P56" s="3">
        <v>20</v>
      </c>
      <c r="Q56" s="4">
        <v>10</v>
      </c>
      <c r="V56" s="3">
        <v>1</v>
      </c>
      <c r="W56" s="4">
        <v>5</v>
      </c>
      <c r="X56" s="36"/>
      <c r="Y56" s="36"/>
    </row>
    <row r="57" spans="1:28" ht="17.45" customHeight="1">
      <c r="A57" s="7">
        <v>45783</v>
      </c>
      <c r="B57" s="5">
        <v>-4</v>
      </c>
      <c r="C57" s="6">
        <v>-5</v>
      </c>
      <c r="J57" s="5">
        <v>11</v>
      </c>
      <c r="K57" s="6">
        <v>5</v>
      </c>
      <c r="P57" s="5">
        <v>-45</v>
      </c>
      <c r="Q57" s="6">
        <v>-10</v>
      </c>
      <c r="V57" s="5">
        <v>38</v>
      </c>
      <c r="W57" s="6">
        <v>10</v>
      </c>
      <c r="X57" s="36"/>
      <c r="Y57" s="36"/>
    </row>
    <row r="58" spans="1:28" ht="17.45" customHeight="1">
      <c r="A58" s="7">
        <v>45783</v>
      </c>
      <c r="B58" s="3">
        <v>28</v>
      </c>
      <c r="C58" s="4">
        <v>10</v>
      </c>
      <c r="J58" s="3">
        <v>-7</v>
      </c>
      <c r="K58" s="4">
        <v>-5</v>
      </c>
      <c r="P58" s="3">
        <v>-20</v>
      </c>
      <c r="Q58" s="4">
        <v>-10</v>
      </c>
      <c r="V58" s="3">
        <v>-1</v>
      </c>
      <c r="W58" s="4">
        <v>5</v>
      </c>
      <c r="X58" s="36"/>
      <c r="Y58" s="36"/>
    </row>
    <row r="59" spans="1:28" ht="17.45" customHeight="1">
      <c r="A59" s="7">
        <v>45783</v>
      </c>
      <c r="B59" s="5">
        <v>-37</v>
      </c>
      <c r="C59" s="6">
        <v>-10</v>
      </c>
      <c r="J59" s="5">
        <v>-4</v>
      </c>
      <c r="K59" s="6">
        <v>-5</v>
      </c>
      <c r="P59" s="5">
        <v>36</v>
      </c>
      <c r="Q59" s="6">
        <v>10</v>
      </c>
      <c r="V59" s="5">
        <v>5</v>
      </c>
      <c r="W59" s="6">
        <v>5</v>
      </c>
      <c r="X59" s="36"/>
      <c r="Y59" s="36"/>
    </row>
    <row r="60" spans="1:28" ht="17.45" customHeight="1">
      <c r="A60" s="7">
        <v>45783</v>
      </c>
      <c r="B60" s="3">
        <v>-7</v>
      </c>
      <c r="C60" s="4">
        <v>5</v>
      </c>
      <c r="J60" s="3">
        <v>-12</v>
      </c>
      <c r="K60" s="4">
        <v>-5</v>
      </c>
      <c r="P60" s="3">
        <v>-22</v>
      </c>
      <c r="Q60" s="4">
        <v>-10</v>
      </c>
      <c r="V60" s="3">
        <v>41</v>
      </c>
      <c r="W60" s="4">
        <v>10</v>
      </c>
      <c r="X60" s="36"/>
      <c r="Y60" s="36"/>
    </row>
    <row r="61" spans="1:28" ht="17.45" customHeight="1">
      <c r="A61" s="7">
        <v>45783</v>
      </c>
      <c r="B61" s="5">
        <v>-5</v>
      </c>
      <c r="C61" s="6">
        <v>-5</v>
      </c>
      <c r="J61" s="5">
        <v>26</v>
      </c>
      <c r="K61" s="6">
        <v>10</v>
      </c>
      <c r="P61" s="5">
        <v>-24</v>
      </c>
      <c r="Q61" s="6">
        <v>-10</v>
      </c>
      <c r="V61" s="5">
        <v>3</v>
      </c>
      <c r="W61" s="6">
        <v>5</v>
      </c>
      <c r="X61" s="36"/>
      <c r="Y61" s="36"/>
    </row>
    <row r="62" spans="1:28" ht="17.45" customHeight="1">
      <c r="A62" s="7">
        <v>45783</v>
      </c>
      <c r="B62" s="3">
        <v>-30</v>
      </c>
      <c r="C62" s="4">
        <v>-10</v>
      </c>
      <c r="J62" s="3">
        <v>-4</v>
      </c>
      <c r="K62" s="4">
        <v>5</v>
      </c>
      <c r="P62" s="3">
        <v>-17</v>
      </c>
      <c r="Q62" s="4">
        <v>-5</v>
      </c>
      <c r="V62" s="3">
        <v>51</v>
      </c>
      <c r="W62" s="4">
        <v>10</v>
      </c>
      <c r="X62" s="36"/>
      <c r="Y62" s="36"/>
    </row>
    <row r="63" spans="1:28" ht="17.45" customHeight="1">
      <c r="A63" s="7">
        <v>45783</v>
      </c>
      <c r="B63" s="5">
        <v>-12</v>
      </c>
      <c r="C63" s="6">
        <v>-10</v>
      </c>
      <c r="J63" s="5">
        <v>12</v>
      </c>
      <c r="K63" s="6">
        <v>10</v>
      </c>
      <c r="P63" s="5">
        <v>-1</v>
      </c>
      <c r="Q63" s="6">
        <v>-5</v>
      </c>
      <c r="V63" s="5">
        <v>1</v>
      </c>
      <c r="W63" s="6">
        <v>5</v>
      </c>
      <c r="X63" s="36"/>
      <c r="Y63" s="36"/>
    </row>
    <row r="64" spans="1:28" ht="17.45" customHeight="1">
      <c r="A64" s="7">
        <v>45783</v>
      </c>
      <c r="B64" s="3">
        <v>-15</v>
      </c>
      <c r="C64" s="4">
        <v>-5</v>
      </c>
      <c r="J64" s="3">
        <v>-2</v>
      </c>
      <c r="K64" s="4">
        <v>5</v>
      </c>
      <c r="P64" s="3">
        <v>-27</v>
      </c>
      <c r="Q64" s="4">
        <v>-10</v>
      </c>
      <c r="V64" s="3">
        <v>44</v>
      </c>
      <c r="W64" s="4">
        <v>10</v>
      </c>
      <c r="X64" s="36"/>
      <c r="Y64" s="36"/>
    </row>
    <row r="65" spans="1:25" ht="17.45" customHeight="1">
      <c r="A65" s="7">
        <v>45795</v>
      </c>
      <c r="B65" s="3">
        <v>-16</v>
      </c>
      <c r="C65" s="4">
        <v>-5</v>
      </c>
      <c r="J65" s="3">
        <v>-40</v>
      </c>
      <c r="K65" s="4">
        <v>-10</v>
      </c>
      <c r="L65" s="3">
        <v>14</v>
      </c>
      <c r="M65" s="4">
        <v>5</v>
      </c>
      <c r="N65" s="3">
        <v>42</v>
      </c>
      <c r="O65" s="4">
        <v>10</v>
      </c>
    </row>
    <row r="66" spans="1:25" ht="17.45" customHeight="1">
      <c r="A66" s="7">
        <v>45795</v>
      </c>
      <c r="B66" s="5">
        <v>-11</v>
      </c>
      <c r="C66" s="6">
        <v>-5</v>
      </c>
      <c r="J66" s="5">
        <v>-8</v>
      </c>
      <c r="K66" s="6">
        <v>5</v>
      </c>
      <c r="L66" s="5">
        <v>39</v>
      </c>
      <c r="M66" s="6">
        <v>10</v>
      </c>
      <c r="N66" s="5">
        <v>-20</v>
      </c>
      <c r="O66" s="6">
        <v>-10</v>
      </c>
    </row>
    <row r="67" spans="1:25" ht="17.45" customHeight="1">
      <c r="A67" s="7">
        <v>45795</v>
      </c>
      <c r="B67" s="3">
        <v>-32</v>
      </c>
      <c r="C67" s="4">
        <v>-10</v>
      </c>
      <c r="J67" s="3">
        <v>30</v>
      </c>
      <c r="K67" s="4">
        <v>10</v>
      </c>
      <c r="L67" s="3">
        <v>-2</v>
      </c>
      <c r="M67" s="4">
        <v>-5</v>
      </c>
      <c r="N67" s="3">
        <v>4</v>
      </c>
      <c r="O67" s="4">
        <v>5</v>
      </c>
    </row>
    <row r="68" spans="1:25" ht="17.45" customHeight="1">
      <c r="A68" s="7">
        <v>45795</v>
      </c>
      <c r="B68" s="5">
        <v>2</v>
      </c>
      <c r="C68" s="6">
        <v>5</v>
      </c>
      <c r="J68" s="5">
        <v>39</v>
      </c>
      <c r="K68" s="6">
        <v>10</v>
      </c>
      <c r="L68" s="5">
        <v>-28</v>
      </c>
      <c r="M68" s="6">
        <v>-10</v>
      </c>
      <c r="N68" s="5">
        <v>-13</v>
      </c>
      <c r="O68" s="6">
        <v>-5</v>
      </c>
    </row>
    <row r="69" spans="1:25" ht="17.45" customHeight="1">
      <c r="A69" s="7">
        <v>45795</v>
      </c>
      <c r="B69" s="3">
        <v>-16</v>
      </c>
      <c r="C69" s="4">
        <v>-5</v>
      </c>
      <c r="J69" s="3">
        <v>-27</v>
      </c>
      <c r="K69" s="4">
        <v>-10</v>
      </c>
      <c r="L69" s="3">
        <v>37</v>
      </c>
      <c r="M69" s="4">
        <v>10</v>
      </c>
      <c r="N69" s="3">
        <v>6</v>
      </c>
      <c r="O69" s="4">
        <v>5</v>
      </c>
    </row>
    <row r="70" spans="1:25" ht="17.45" customHeight="1">
      <c r="A70" s="7">
        <v>45795</v>
      </c>
      <c r="B70" s="5">
        <v>0</v>
      </c>
      <c r="C70" s="6">
        <v>-5</v>
      </c>
      <c r="J70" s="5">
        <v>19</v>
      </c>
      <c r="K70" s="6">
        <v>10</v>
      </c>
      <c r="L70" s="5">
        <v>1</v>
      </c>
      <c r="M70" s="6">
        <v>5</v>
      </c>
      <c r="N70" s="5">
        <v>-20</v>
      </c>
      <c r="O70" s="6">
        <v>-10</v>
      </c>
    </row>
    <row r="71" spans="1:25" ht="17.45" customHeight="1">
      <c r="A71" s="7">
        <v>45795</v>
      </c>
      <c r="B71" s="3">
        <v>-16</v>
      </c>
      <c r="C71" s="4">
        <v>-10</v>
      </c>
      <c r="J71" s="3">
        <v>22</v>
      </c>
      <c r="K71" s="4">
        <v>10</v>
      </c>
      <c r="L71" s="3">
        <v>3</v>
      </c>
      <c r="M71" s="4">
        <v>5</v>
      </c>
      <c r="N71" s="3">
        <v>-9</v>
      </c>
      <c r="O71" s="4">
        <v>-5</v>
      </c>
    </row>
    <row r="72" spans="1:25" ht="17.45" customHeight="1">
      <c r="A72" s="7">
        <v>45795</v>
      </c>
      <c r="B72" s="5">
        <v>-3</v>
      </c>
      <c r="C72" s="6">
        <v>-5</v>
      </c>
      <c r="J72" s="5">
        <v>-13</v>
      </c>
      <c r="K72" s="6">
        <v>-10</v>
      </c>
      <c r="L72" s="5">
        <v>-1</v>
      </c>
      <c r="M72" s="6">
        <v>5</v>
      </c>
      <c r="N72" s="5">
        <v>17</v>
      </c>
      <c r="O72" s="6">
        <v>10</v>
      </c>
    </row>
    <row r="73" spans="1:25" ht="17.45" customHeight="1">
      <c r="A73" s="7">
        <v>45801</v>
      </c>
      <c r="B73" s="3">
        <v>56</v>
      </c>
      <c r="C73" s="4">
        <v>10</v>
      </c>
      <c r="F73" s="3">
        <v>-4</v>
      </c>
      <c r="G73" s="4">
        <v>5</v>
      </c>
      <c r="J73" s="3">
        <v>-30</v>
      </c>
      <c r="K73" s="4">
        <v>-10</v>
      </c>
      <c r="V73" s="3">
        <v>-22</v>
      </c>
      <c r="W73" s="4">
        <v>-5</v>
      </c>
      <c r="X73" s="36"/>
      <c r="Y73" s="36"/>
    </row>
    <row r="74" spans="1:25" ht="17.45" customHeight="1">
      <c r="A74" s="7">
        <v>45801</v>
      </c>
      <c r="B74" s="5">
        <v>-4</v>
      </c>
      <c r="C74" s="6">
        <v>-5</v>
      </c>
      <c r="F74" s="5">
        <v>32</v>
      </c>
      <c r="G74" s="6">
        <v>10</v>
      </c>
      <c r="J74" s="5">
        <v>-31</v>
      </c>
      <c r="K74" s="6">
        <v>-10</v>
      </c>
      <c r="V74" s="5">
        <v>3</v>
      </c>
      <c r="W74" s="6">
        <v>5</v>
      </c>
      <c r="X74" s="36"/>
      <c r="Y74" s="36"/>
    </row>
    <row r="75" spans="1:25" ht="17.45" customHeight="1">
      <c r="A75" s="7">
        <v>45801</v>
      </c>
      <c r="B75" s="3">
        <v>-3</v>
      </c>
      <c r="C75" s="4">
        <v>5</v>
      </c>
      <c r="F75" s="3">
        <v>-4</v>
      </c>
      <c r="G75" s="4">
        <v>-5</v>
      </c>
      <c r="J75" s="3">
        <v>-11</v>
      </c>
      <c r="K75" s="4">
        <v>-10</v>
      </c>
      <c r="V75" s="3">
        <v>18</v>
      </c>
      <c r="W75" s="4">
        <v>10</v>
      </c>
      <c r="X75" s="36"/>
      <c r="Y75" s="36"/>
    </row>
    <row r="76" spans="1:25" ht="17.45" customHeight="1">
      <c r="A76" s="7">
        <v>45801</v>
      </c>
      <c r="B76" s="5">
        <v>-9</v>
      </c>
      <c r="C76" s="6">
        <v>-5</v>
      </c>
      <c r="F76" s="5">
        <v>0</v>
      </c>
      <c r="G76" s="6">
        <v>5</v>
      </c>
      <c r="J76" s="5">
        <v>-22</v>
      </c>
      <c r="K76" s="6">
        <v>-10</v>
      </c>
      <c r="V76" s="5">
        <v>31</v>
      </c>
      <c r="W76" s="6">
        <v>10</v>
      </c>
      <c r="X76" s="36"/>
      <c r="Y76" s="36"/>
    </row>
    <row r="77" spans="1:25" ht="17.45" customHeight="1">
      <c r="A77" s="7">
        <v>45801</v>
      </c>
      <c r="B77" s="3">
        <v>-34</v>
      </c>
      <c r="C77" s="4">
        <v>-10</v>
      </c>
      <c r="F77" s="3">
        <v>-11</v>
      </c>
      <c r="G77" s="4">
        <v>-5</v>
      </c>
      <c r="J77" s="3">
        <v>2</v>
      </c>
      <c r="K77" s="4">
        <v>5</v>
      </c>
      <c r="V77" s="3">
        <v>43</v>
      </c>
      <c r="W77" s="4">
        <v>10</v>
      </c>
      <c r="X77" s="36"/>
      <c r="Y77" s="36"/>
    </row>
    <row r="78" spans="1:25" ht="17.45" customHeight="1">
      <c r="A78" s="7">
        <v>45801</v>
      </c>
      <c r="B78" s="5">
        <v>46</v>
      </c>
      <c r="C78" s="6">
        <v>10</v>
      </c>
      <c r="F78" s="5">
        <v>-13</v>
      </c>
      <c r="G78" s="6">
        <v>-5</v>
      </c>
      <c r="J78" s="5">
        <v>-38</v>
      </c>
      <c r="K78" s="6">
        <v>-10</v>
      </c>
      <c r="V78" s="5">
        <v>5</v>
      </c>
      <c r="W78" s="6">
        <v>5</v>
      </c>
      <c r="X78" s="36"/>
      <c r="Y78" s="36"/>
    </row>
    <row r="79" spans="1:25" ht="17.45" customHeight="1">
      <c r="A79" s="7">
        <v>45801</v>
      </c>
      <c r="B79" s="3">
        <v>1</v>
      </c>
      <c r="C79" s="4">
        <v>5</v>
      </c>
      <c r="F79" s="3">
        <v>31</v>
      </c>
      <c r="G79" s="4">
        <v>10</v>
      </c>
      <c r="J79" s="3">
        <v>-15</v>
      </c>
      <c r="K79" s="4">
        <v>-5</v>
      </c>
      <c r="V79" s="3">
        <v>-17</v>
      </c>
      <c r="W79" s="4">
        <v>-10</v>
      </c>
      <c r="X79" s="36"/>
      <c r="Y79" s="36"/>
    </row>
    <row r="80" spans="1:25" ht="17.45" customHeight="1">
      <c r="A80" s="7">
        <v>45801</v>
      </c>
      <c r="B80" s="5">
        <v>3</v>
      </c>
      <c r="C80" s="6">
        <v>5</v>
      </c>
      <c r="F80" s="5">
        <v>-4</v>
      </c>
      <c r="G80" s="6">
        <v>-5</v>
      </c>
      <c r="J80" s="5">
        <v>-27</v>
      </c>
      <c r="K80" s="6">
        <v>-10</v>
      </c>
      <c r="V80" s="5">
        <v>28</v>
      </c>
      <c r="W80" s="6">
        <v>10</v>
      </c>
      <c r="X80" s="36"/>
      <c r="Y80" s="36"/>
    </row>
    <row r="81" spans="1:25" ht="17.45" customHeight="1">
      <c r="A81" s="7">
        <v>45801</v>
      </c>
      <c r="B81" s="3">
        <v>-37</v>
      </c>
      <c r="C81" s="4">
        <v>-10</v>
      </c>
      <c r="F81" s="3">
        <v>43</v>
      </c>
      <c r="G81" s="4">
        <v>10</v>
      </c>
      <c r="J81" s="3">
        <v>2</v>
      </c>
      <c r="K81" s="4">
        <v>5</v>
      </c>
      <c r="V81" s="3">
        <v>-8</v>
      </c>
      <c r="W81" s="4">
        <v>-5</v>
      </c>
      <c r="X81" s="36"/>
      <c r="Y81" s="36"/>
    </row>
    <row r="82" spans="1:25" ht="17.45" customHeight="1">
      <c r="A82" s="7">
        <v>45829</v>
      </c>
      <c r="B82" s="3">
        <v>30</v>
      </c>
      <c r="C82" s="4">
        <v>10</v>
      </c>
      <c r="J82" s="3">
        <v>-12</v>
      </c>
      <c r="K82" s="4">
        <v>-5</v>
      </c>
      <c r="P82" s="3">
        <v>-24</v>
      </c>
      <c r="Q82" s="4">
        <v>-10</v>
      </c>
      <c r="V82" s="3">
        <v>6</v>
      </c>
      <c r="W82" s="4">
        <v>5</v>
      </c>
      <c r="X82" s="36"/>
      <c r="Y82" s="36"/>
    </row>
    <row r="83" spans="1:25" ht="17.45" customHeight="1">
      <c r="A83" s="7">
        <v>45829</v>
      </c>
      <c r="B83" s="5">
        <v>-33</v>
      </c>
      <c r="C83" s="6">
        <v>-10</v>
      </c>
      <c r="J83" s="5">
        <v>59</v>
      </c>
      <c r="K83" s="6">
        <v>10</v>
      </c>
      <c r="P83" s="5">
        <v>-13</v>
      </c>
      <c r="Q83" s="6">
        <v>5</v>
      </c>
      <c r="V83" s="5">
        <v>-13</v>
      </c>
      <c r="W83" s="6">
        <v>-5</v>
      </c>
      <c r="X83" s="36"/>
      <c r="Y83" s="36"/>
    </row>
    <row r="84" spans="1:25" ht="17.45" customHeight="1">
      <c r="A84" s="7">
        <v>45829</v>
      </c>
      <c r="B84" s="3">
        <v>-13</v>
      </c>
      <c r="C84" s="4">
        <v>-10</v>
      </c>
      <c r="J84" s="3">
        <v>-2</v>
      </c>
      <c r="K84" s="4">
        <v>5</v>
      </c>
      <c r="P84" s="3">
        <v>18</v>
      </c>
      <c r="Q84" s="4">
        <v>10</v>
      </c>
      <c r="V84" s="3">
        <v>-3</v>
      </c>
      <c r="W84" s="4">
        <v>-5</v>
      </c>
      <c r="X84" s="36"/>
      <c r="Y84" s="36"/>
    </row>
    <row r="85" spans="1:25" ht="17.45" customHeight="1">
      <c r="A85" s="7">
        <v>45829</v>
      </c>
      <c r="B85" s="5">
        <v>-25</v>
      </c>
      <c r="C85" s="6">
        <v>-10</v>
      </c>
      <c r="J85" s="5">
        <v>6</v>
      </c>
      <c r="K85" s="6">
        <v>5</v>
      </c>
      <c r="P85" s="5">
        <v>31</v>
      </c>
      <c r="Q85" s="6">
        <v>10</v>
      </c>
      <c r="V85" s="5">
        <v>-12</v>
      </c>
      <c r="W85" s="6">
        <v>-5</v>
      </c>
      <c r="X85" s="36"/>
      <c r="Y85" s="36"/>
    </row>
    <row r="86" spans="1:25" ht="17.45" customHeight="1">
      <c r="A86" s="7">
        <v>45829</v>
      </c>
      <c r="B86" s="3">
        <v>-4</v>
      </c>
      <c r="C86" s="4">
        <v>-5</v>
      </c>
      <c r="J86" s="3">
        <v>3</v>
      </c>
      <c r="K86" s="4">
        <v>5</v>
      </c>
      <c r="P86" s="3">
        <v>-31</v>
      </c>
      <c r="Q86" s="4">
        <v>-10</v>
      </c>
      <c r="V86" s="3">
        <v>32</v>
      </c>
      <c r="W86" s="4">
        <v>10</v>
      </c>
      <c r="X86" s="36"/>
      <c r="Y86" s="36"/>
    </row>
    <row r="87" spans="1:25" ht="17.45" customHeight="1">
      <c r="A87" s="7">
        <v>45829</v>
      </c>
      <c r="B87" s="5">
        <v>-32</v>
      </c>
      <c r="C87" s="6">
        <v>-10</v>
      </c>
      <c r="J87" s="5">
        <v>1</v>
      </c>
      <c r="K87" s="6">
        <v>5</v>
      </c>
      <c r="P87" s="5">
        <v>32</v>
      </c>
      <c r="Q87" s="6">
        <v>10</v>
      </c>
      <c r="V87" s="5">
        <v>-1</v>
      </c>
      <c r="W87" s="6">
        <v>-5</v>
      </c>
      <c r="X87" s="36"/>
      <c r="Y87" s="36"/>
    </row>
    <row r="88" spans="1:25" ht="17.45" customHeight="1">
      <c r="A88" s="7">
        <v>45829</v>
      </c>
      <c r="B88" s="3">
        <v>-9</v>
      </c>
      <c r="C88" s="4">
        <v>-10</v>
      </c>
      <c r="J88" s="3">
        <v>-5</v>
      </c>
      <c r="K88" s="4">
        <v>5</v>
      </c>
      <c r="P88" s="3">
        <v>-8</v>
      </c>
      <c r="Q88" s="4">
        <v>-5</v>
      </c>
      <c r="V88" s="3">
        <v>22</v>
      </c>
      <c r="W88" s="4">
        <v>10</v>
      </c>
      <c r="X88" s="36"/>
      <c r="Y88" s="36"/>
    </row>
    <row r="89" spans="1:25" ht="17.45" customHeight="1">
      <c r="A89" s="7">
        <v>45829</v>
      </c>
      <c r="B89" s="5">
        <v>-15</v>
      </c>
      <c r="C89" s="6">
        <v>-5</v>
      </c>
      <c r="J89" s="5">
        <v>-31</v>
      </c>
      <c r="K89" s="6">
        <v>-10</v>
      </c>
      <c r="P89" s="5">
        <v>4</v>
      </c>
      <c r="Q89" s="6">
        <v>5</v>
      </c>
      <c r="V89" s="5">
        <v>42</v>
      </c>
      <c r="W89" s="6">
        <v>10</v>
      </c>
      <c r="X89" s="36"/>
      <c r="Y89" s="36"/>
    </row>
    <row r="90" spans="1:25" ht="17.45" customHeight="1">
      <c r="A90" s="7">
        <v>45829</v>
      </c>
      <c r="B90" s="3">
        <v>-6</v>
      </c>
      <c r="C90" s="4">
        <v>-5</v>
      </c>
      <c r="J90" s="3">
        <v>-33</v>
      </c>
      <c r="K90" s="4">
        <v>-10</v>
      </c>
      <c r="P90" s="3">
        <v>0</v>
      </c>
      <c r="Q90" s="4">
        <v>5</v>
      </c>
      <c r="V90" s="3">
        <v>39</v>
      </c>
      <c r="W90" s="4">
        <v>10</v>
      </c>
      <c r="X90" s="36"/>
      <c r="Y90" s="36"/>
    </row>
    <row r="91" spans="1:25" ht="17.45" customHeight="1">
      <c r="A91" s="7">
        <v>45829</v>
      </c>
      <c r="B91" s="5">
        <v>-22</v>
      </c>
      <c r="C91" s="6">
        <v>-5</v>
      </c>
      <c r="J91" s="5">
        <v>10</v>
      </c>
      <c r="K91" s="6">
        <v>5</v>
      </c>
      <c r="P91" s="5">
        <v>-31</v>
      </c>
      <c r="Q91" s="6">
        <v>-10</v>
      </c>
      <c r="V91" s="5">
        <v>43</v>
      </c>
      <c r="W91" s="6">
        <v>10</v>
      </c>
      <c r="X91" s="36"/>
      <c r="Y91" s="36"/>
    </row>
    <row r="92" spans="1:25" ht="17.45" customHeight="1">
      <c r="A92" s="7">
        <v>45829</v>
      </c>
      <c r="B92" s="3">
        <v>38</v>
      </c>
      <c r="C92" s="4">
        <v>10</v>
      </c>
      <c r="J92" s="3">
        <v>-15</v>
      </c>
      <c r="K92" s="4">
        <v>-5</v>
      </c>
      <c r="P92" s="3">
        <v>7</v>
      </c>
      <c r="Q92" s="4">
        <v>5</v>
      </c>
      <c r="V92" s="3">
        <v>-30</v>
      </c>
      <c r="W92" s="4">
        <v>-10</v>
      </c>
      <c r="X92" s="36"/>
      <c r="Y92" s="36"/>
    </row>
    <row r="93" spans="1:25" ht="17.45" customHeight="1">
      <c r="A93" s="7">
        <v>45857</v>
      </c>
      <c r="B93" s="3">
        <v>-4</v>
      </c>
      <c r="C93" s="4">
        <v>5</v>
      </c>
      <c r="J93" s="3">
        <v>23</v>
      </c>
      <c r="K93" s="4">
        <v>10</v>
      </c>
      <c r="P93" s="3">
        <v>-12</v>
      </c>
      <c r="Q93" s="4">
        <v>-10</v>
      </c>
      <c r="V93" s="3">
        <v>-7</v>
      </c>
      <c r="W93" s="4">
        <v>-5</v>
      </c>
      <c r="X93" s="36"/>
      <c r="Y93" s="36"/>
    </row>
    <row r="94" spans="1:25" ht="17.45" customHeight="1">
      <c r="A94" s="7">
        <v>45857</v>
      </c>
      <c r="B94" s="5">
        <v>-37</v>
      </c>
      <c r="C94" s="6">
        <v>-10</v>
      </c>
      <c r="J94" s="5">
        <v>-17</v>
      </c>
      <c r="K94" s="6">
        <v>-5</v>
      </c>
      <c r="P94" s="5">
        <v>41</v>
      </c>
      <c r="Q94" s="6">
        <v>10</v>
      </c>
      <c r="V94" s="5">
        <v>13</v>
      </c>
      <c r="W94" s="6">
        <v>5</v>
      </c>
      <c r="X94" s="36"/>
      <c r="Y94" s="36"/>
    </row>
    <row r="95" spans="1:25" ht="17.45" customHeight="1">
      <c r="A95" s="7">
        <v>45857</v>
      </c>
      <c r="B95" s="3">
        <v>2</v>
      </c>
      <c r="C95" s="4">
        <v>5</v>
      </c>
      <c r="J95" s="3">
        <v>-12</v>
      </c>
      <c r="K95" s="4">
        <v>-10</v>
      </c>
      <c r="P95" s="3">
        <v>-9</v>
      </c>
      <c r="Q95" s="4">
        <v>-5</v>
      </c>
      <c r="V95" s="3">
        <v>19</v>
      </c>
      <c r="W95" s="4">
        <v>10</v>
      </c>
      <c r="X95" s="36"/>
      <c r="Y95" s="36"/>
    </row>
    <row r="96" spans="1:25" ht="17.45" customHeight="1">
      <c r="A96" s="7">
        <v>45857</v>
      </c>
      <c r="B96" s="5">
        <v>-25</v>
      </c>
      <c r="C96" s="6">
        <v>-10</v>
      </c>
      <c r="J96" s="5">
        <v>-9</v>
      </c>
      <c r="K96" s="6">
        <v>-5</v>
      </c>
      <c r="P96" s="5">
        <v>31</v>
      </c>
      <c r="Q96" s="6">
        <v>10</v>
      </c>
      <c r="V96" s="5">
        <v>3</v>
      </c>
      <c r="W96" s="6">
        <v>5</v>
      </c>
      <c r="X96" s="36"/>
      <c r="Y96" s="36"/>
    </row>
    <row r="97" spans="1:25" ht="17.45" customHeight="1">
      <c r="A97" s="7">
        <v>45857</v>
      </c>
      <c r="B97" s="3">
        <v>-24</v>
      </c>
      <c r="C97" s="4">
        <v>-5</v>
      </c>
      <c r="J97" s="3">
        <v>-30</v>
      </c>
      <c r="K97" s="4">
        <v>-10</v>
      </c>
      <c r="P97" s="3">
        <v>-4</v>
      </c>
      <c r="Q97" s="4">
        <v>5</v>
      </c>
      <c r="V97" s="3">
        <v>58</v>
      </c>
      <c r="W97" s="4">
        <v>10</v>
      </c>
      <c r="X97" s="36"/>
      <c r="Y97" s="36"/>
    </row>
    <row r="98" spans="1:25" ht="17.45" customHeight="1">
      <c r="A98" s="7">
        <v>45857</v>
      </c>
      <c r="B98" s="5">
        <v>-34</v>
      </c>
      <c r="C98" s="6">
        <v>-10</v>
      </c>
      <c r="J98" s="5">
        <v>16</v>
      </c>
      <c r="K98" s="6">
        <v>5</v>
      </c>
      <c r="P98" s="5">
        <v>35</v>
      </c>
      <c r="Q98" s="6">
        <v>10</v>
      </c>
      <c r="V98" s="5">
        <v>-17</v>
      </c>
      <c r="W98" s="6">
        <v>-5</v>
      </c>
      <c r="X98" s="36"/>
      <c r="Y98" s="36"/>
    </row>
    <row r="99" spans="1:25" ht="17.45" customHeight="1">
      <c r="A99" s="7">
        <v>45857</v>
      </c>
      <c r="B99" s="3">
        <v>-8</v>
      </c>
      <c r="C99" s="4">
        <v>-5</v>
      </c>
      <c r="J99" s="3">
        <v>-10</v>
      </c>
      <c r="K99" s="4">
        <v>-10</v>
      </c>
      <c r="P99" s="3">
        <v>21</v>
      </c>
      <c r="Q99" s="4">
        <v>10</v>
      </c>
      <c r="V99" s="3">
        <v>-3</v>
      </c>
      <c r="W99" s="4">
        <v>5</v>
      </c>
      <c r="X99" s="36"/>
      <c r="Y99" s="36"/>
    </row>
    <row r="100" spans="1:25" ht="17.45" customHeight="1">
      <c r="A100" s="7">
        <v>45857</v>
      </c>
      <c r="B100" s="5">
        <v>-20</v>
      </c>
      <c r="C100" s="6">
        <v>-10</v>
      </c>
      <c r="J100" s="5">
        <v>4</v>
      </c>
      <c r="K100" s="6">
        <v>5</v>
      </c>
      <c r="P100" s="5">
        <v>24</v>
      </c>
      <c r="Q100" s="6">
        <v>10</v>
      </c>
      <c r="V100" s="5">
        <v>-8</v>
      </c>
      <c r="W100" s="6">
        <v>-5</v>
      </c>
      <c r="X100" s="36"/>
      <c r="Y100" s="36"/>
    </row>
    <row r="101" spans="1:25" ht="17.45" customHeight="1">
      <c r="A101" s="7">
        <v>45857</v>
      </c>
      <c r="B101" s="3">
        <v>1</v>
      </c>
      <c r="C101" s="4">
        <v>5</v>
      </c>
      <c r="J101" s="3">
        <v>17</v>
      </c>
      <c r="K101" s="4">
        <v>10</v>
      </c>
      <c r="P101" s="3">
        <v>-2</v>
      </c>
      <c r="Q101" s="4">
        <v>-5</v>
      </c>
      <c r="V101" s="3">
        <v>-16</v>
      </c>
      <c r="W101" s="4">
        <v>-10</v>
      </c>
      <c r="X101" s="36"/>
      <c r="Y101" s="36"/>
    </row>
    <row r="102" spans="1:25" ht="17.45" customHeight="1">
      <c r="A102" s="7">
        <v>45857</v>
      </c>
      <c r="B102" s="5">
        <v>24</v>
      </c>
      <c r="C102" s="6">
        <v>10</v>
      </c>
      <c r="J102" s="5">
        <v>1</v>
      </c>
      <c r="K102" s="6">
        <v>-5</v>
      </c>
      <c r="P102" s="5">
        <v>2</v>
      </c>
      <c r="Q102" s="6">
        <v>5</v>
      </c>
      <c r="V102" s="5">
        <v>-27</v>
      </c>
      <c r="W102" s="6">
        <v>-10</v>
      </c>
      <c r="X102" s="36"/>
      <c r="Y102" s="36"/>
    </row>
    <row r="103" spans="1:25" ht="17.45" customHeight="1">
      <c r="A103" s="7">
        <v>45872</v>
      </c>
      <c r="B103" s="3">
        <v>7</v>
      </c>
      <c r="C103" s="4">
        <v>5</v>
      </c>
      <c r="F103" s="3">
        <v>31</v>
      </c>
      <c r="G103" s="4">
        <v>10</v>
      </c>
      <c r="J103" s="3">
        <v>-7</v>
      </c>
      <c r="K103" s="4">
        <v>-5</v>
      </c>
      <c r="V103" s="3">
        <v>-31</v>
      </c>
      <c r="W103" s="4">
        <v>-10</v>
      </c>
      <c r="X103" s="36"/>
      <c r="Y103" s="36"/>
    </row>
    <row r="104" spans="1:25" ht="17.45" customHeight="1">
      <c r="A104" s="7">
        <v>45872</v>
      </c>
      <c r="B104" s="5">
        <v>-4</v>
      </c>
      <c r="C104" s="6">
        <v>-5</v>
      </c>
      <c r="F104" s="5">
        <v>19</v>
      </c>
      <c r="G104" s="6">
        <v>10</v>
      </c>
      <c r="J104" s="5">
        <v>-17</v>
      </c>
      <c r="K104" s="6">
        <v>-10</v>
      </c>
      <c r="V104" s="5">
        <v>2</v>
      </c>
      <c r="W104" s="6">
        <v>5</v>
      </c>
      <c r="X104" s="36"/>
      <c r="Y104" s="36"/>
    </row>
    <row r="105" spans="1:25" ht="17.45" customHeight="1">
      <c r="A105" s="7">
        <v>45872</v>
      </c>
      <c r="B105" s="3">
        <v>53</v>
      </c>
      <c r="C105" s="4">
        <v>10</v>
      </c>
      <c r="F105" s="3">
        <v>-17</v>
      </c>
      <c r="G105" s="4">
        <v>-5</v>
      </c>
      <c r="J105" s="3">
        <v>-33</v>
      </c>
      <c r="K105" s="4">
        <v>-10</v>
      </c>
      <c r="V105" s="3">
        <v>-3</v>
      </c>
      <c r="W105" s="4">
        <v>5</v>
      </c>
      <c r="X105" s="36"/>
      <c r="Y105" s="36"/>
    </row>
    <row r="106" spans="1:25" ht="17.45" customHeight="1">
      <c r="A106" s="7">
        <v>45872</v>
      </c>
      <c r="B106" s="5">
        <v>14</v>
      </c>
      <c r="C106" s="6">
        <v>5</v>
      </c>
      <c r="F106" s="5">
        <v>-34</v>
      </c>
      <c r="G106" s="6">
        <v>-10</v>
      </c>
      <c r="J106" s="5">
        <v>34</v>
      </c>
      <c r="K106" s="6">
        <v>10</v>
      </c>
      <c r="V106" s="5">
        <v>-14</v>
      </c>
      <c r="W106" s="6">
        <v>-5</v>
      </c>
      <c r="X106" s="36"/>
      <c r="Y106" s="36"/>
    </row>
    <row r="107" spans="1:25" ht="17.45" customHeight="1">
      <c r="A107" s="7">
        <v>45872</v>
      </c>
      <c r="B107" s="3">
        <v>7</v>
      </c>
      <c r="C107" s="4">
        <v>5</v>
      </c>
      <c r="F107" s="3">
        <v>-32</v>
      </c>
      <c r="G107" s="4">
        <v>-10</v>
      </c>
      <c r="J107" s="3">
        <v>26</v>
      </c>
      <c r="K107" s="4">
        <v>10</v>
      </c>
      <c r="P107" s="3">
        <v>-1</v>
      </c>
      <c r="Q107" s="4">
        <v>-5</v>
      </c>
    </row>
    <row r="108" spans="1:25" ht="17.45" customHeight="1">
      <c r="A108" s="7">
        <v>45872</v>
      </c>
      <c r="B108" s="5">
        <v>-12</v>
      </c>
      <c r="C108" s="6">
        <v>-5</v>
      </c>
      <c r="F108" s="5">
        <v>6</v>
      </c>
      <c r="G108" s="6">
        <v>5</v>
      </c>
      <c r="J108" s="5">
        <v>34</v>
      </c>
      <c r="K108" s="6">
        <v>10</v>
      </c>
      <c r="P108" s="5">
        <v>-28</v>
      </c>
      <c r="Q108" s="6">
        <v>-10</v>
      </c>
    </row>
    <row r="109" spans="1:25" ht="17.45" customHeight="1">
      <c r="A109" s="7">
        <v>45872</v>
      </c>
      <c r="B109" s="3">
        <v>-32</v>
      </c>
      <c r="C109" s="4">
        <v>-10</v>
      </c>
      <c r="F109" s="3">
        <v>39</v>
      </c>
      <c r="G109" s="4">
        <v>10</v>
      </c>
      <c r="J109" s="3">
        <v>-1</v>
      </c>
      <c r="K109" s="4">
        <v>5</v>
      </c>
      <c r="P109" s="3">
        <v>-6</v>
      </c>
      <c r="Q109" s="4">
        <v>-5</v>
      </c>
    </row>
    <row r="110" spans="1:25" ht="17.45" customHeight="1">
      <c r="A110" s="7">
        <v>45872</v>
      </c>
      <c r="B110" s="5">
        <v>-17</v>
      </c>
      <c r="C110" s="6">
        <v>-10</v>
      </c>
      <c r="F110" s="5">
        <v>0</v>
      </c>
      <c r="G110" s="6">
        <v>5</v>
      </c>
      <c r="J110" s="5">
        <v>-4</v>
      </c>
      <c r="K110" s="6">
        <v>-5</v>
      </c>
      <c r="P110" s="5">
        <v>21</v>
      </c>
      <c r="Q110" s="6">
        <v>10</v>
      </c>
    </row>
    <row r="111" spans="1:25" ht="17.45" customHeight="1">
      <c r="A111" s="7">
        <v>45881</v>
      </c>
      <c r="F111" s="3">
        <v>1</v>
      </c>
      <c r="G111" s="4">
        <v>5</v>
      </c>
      <c r="H111" s="3">
        <v>-4</v>
      </c>
      <c r="I111" s="4">
        <v>-5</v>
      </c>
      <c r="J111" s="3">
        <v>-23</v>
      </c>
      <c r="K111" s="4">
        <v>-10</v>
      </c>
      <c r="P111" s="3">
        <v>26</v>
      </c>
      <c r="Q111" s="4">
        <v>10</v>
      </c>
    </row>
    <row r="112" spans="1:25" ht="17.45" customHeight="1">
      <c r="A112" s="7">
        <v>45881</v>
      </c>
      <c r="F112" s="5">
        <v>1</v>
      </c>
      <c r="G112" s="6">
        <v>5</v>
      </c>
      <c r="H112" s="5">
        <v>-18</v>
      </c>
      <c r="I112" s="6">
        <v>-10</v>
      </c>
      <c r="J112" s="5">
        <v>23</v>
      </c>
      <c r="K112" s="6">
        <v>10</v>
      </c>
      <c r="P112" s="5">
        <v>-6</v>
      </c>
      <c r="Q112" s="6">
        <v>-5</v>
      </c>
    </row>
    <row r="113" spans="1:21" ht="17.45" customHeight="1">
      <c r="A113" s="7">
        <v>45881</v>
      </c>
      <c r="F113" s="3">
        <v>-6</v>
      </c>
      <c r="G113" s="4">
        <v>-5</v>
      </c>
      <c r="H113" s="3">
        <v>22</v>
      </c>
      <c r="I113" s="4">
        <v>10</v>
      </c>
      <c r="J113" s="3">
        <v>0</v>
      </c>
      <c r="K113" s="4">
        <v>5</v>
      </c>
      <c r="P113" s="3">
        <v>-16</v>
      </c>
      <c r="Q113" s="4">
        <v>-10</v>
      </c>
    </row>
    <row r="114" spans="1:21" ht="17.45" customHeight="1">
      <c r="A114" s="7">
        <v>45881</v>
      </c>
      <c r="F114" s="5">
        <v>-33</v>
      </c>
      <c r="G114" s="6">
        <v>-10</v>
      </c>
      <c r="H114" s="5">
        <v>-20</v>
      </c>
      <c r="I114" s="6">
        <v>-5</v>
      </c>
      <c r="J114" s="5">
        <v>0</v>
      </c>
      <c r="K114" s="6">
        <v>5</v>
      </c>
      <c r="P114" s="5">
        <v>53</v>
      </c>
      <c r="Q114" s="6">
        <v>10</v>
      </c>
    </row>
    <row r="115" spans="1:21" ht="17.45" customHeight="1">
      <c r="A115" s="7">
        <v>45881</v>
      </c>
      <c r="F115" s="3">
        <v>-8</v>
      </c>
      <c r="G115" s="4">
        <v>5</v>
      </c>
      <c r="H115" s="3">
        <v>-21</v>
      </c>
      <c r="I115" s="4">
        <v>-5</v>
      </c>
      <c r="J115" s="3">
        <v>-25</v>
      </c>
      <c r="K115" s="4">
        <v>-10</v>
      </c>
      <c r="P115" s="3">
        <v>54</v>
      </c>
      <c r="Q115" s="4">
        <v>10</v>
      </c>
    </row>
    <row r="116" spans="1:21" ht="17.45" customHeight="1">
      <c r="A116" s="7">
        <v>45881</v>
      </c>
      <c r="F116" s="5">
        <v>-18</v>
      </c>
      <c r="G116" s="6">
        <v>-10</v>
      </c>
      <c r="H116" s="5">
        <v>3</v>
      </c>
      <c r="I116" s="6">
        <v>5</v>
      </c>
      <c r="J116" s="5">
        <v>30</v>
      </c>
      <c r="K116" s="6">
        <v>10</v>
      </c>
      <c r="P116" s="5">
        <v>-15</v>
      </c>
      <c r="Q116" s="6">
        <v>-5</v>
      </c>
    </row>
    <row r="117" spans="1:21" ht="17.45" customHeight="1">
      <c r="A117" s="7">
        <v>45881</v>
      </c>
      <c r="F117" s="3">
        <v>46</v>
      </c>
      <c r="G117" s="4">
        <v>10</v>
      </c>
      <c r="H117" s="3">
        <v>-7</v>
      </c>
      <c r="I117" s="4">
        <v>5</v>
      </c>
      <c r="J117" s="3">
        <v>-19</v>
      </c>
      <c r="K117" s="4">
        <v>-5</v>
      </c>
      <c r="P117" s="3">
        <v>-20</v>
      </c>
      <c r="Q117" s="4">
        <v>-10</v>
      </c>
    </row>
    <row r="118" spans="1:21" ht="17.45" customHeight="1">
      <c r="A118" s="7">
        <v>45892</v>
      </c>
      <c r="B118" s="3">
        <v>-31</v>
      </c>
      <c r="C118" s="4">
        <v>-10</v>
      </c>
      <c r="J118" s="3">
        <v>7</v>
      </c>
      <c r="K118" s="4">
        <v>5</v>
      </c>
      <c r="R118" s="3">
        <v>34</v>
      </c>
      <c r="S118" s="4">
        <v>10</v>
      </c>
      <c r="T118" s="3">
        <v>-10</v>
      </c>
      <c r="U118" s="4">
        <v>-5</v>
      </c>
    </row>
    <row r="119" spans="1:21" ht="17.45" customHeight="1">
      <c r="A119" s="7">
        <v>45892</v>
      </c>
      <c r="B119" s="5">
        <v>-14</v>
      </c>
      <c r="C119" s="6">
        <v>-5</v>
      </c>
      <c r="J119" s="5">
        <v>-3</v>
      </c>
      <c r="K119" s="6">
        <v>5</v>
      </c>
      <c r="R119" s="5">
        <v>33</v>
      </c>
      <c r="S119" s="6">
        <v>10</v>
      </c>
      <c r="T119" s="5">
        <v>-16</v>
      </c>
      <c r="U119" s="6">
        <v>-10</v>
      </c>
    </row>
    <row r="120" spans="1:21" ht="17.45" customHeight="1">
      <c r="A120" s="7">
        <v>45892</v>
      </c>
      <c r="B120" s="3">
        <v>39</v>
      </c>
      <c r="C120" s="4">
        <v>10</v>
      </c>
      <c r="J120" s="3">
        <v>-6</v>
      </c>
      <c r="K120" s="4">
        <v>-5</v>
      </c>
      <c r="R120" s="3">
        <v>-31</v>
      </c>
      <c r="S120" s="4">
        <v>-10</v>
      </c>
      <c r="T120" s="3">
        <v>-2</v>
      </c>
      <c r="U120" s="4">
        <v>5</v>
      </c>
    </row>
    <row r="121" spans="1:21" ht="17.45" customHeight="1">
      <c r="A121" s="7">
        <v>45892</v>
      </c>
      <c r="B121" s="5">
        <v>-10</v>
      </c>
      <c r="C121" s="6">
        <v>5</v>
      </c>
      <c r="J121" s="5">
        <v>-14</v>
      </c>
      <c r="K121" s="6">
        <v>-10</v>
      </c>
      <c r="R121" s="5">
        <v>-11</v>
      </c>
      <c r="S121" s="6">
        <v>-5</v>
      </c>
      <c r="T121" s="5">
        <v>35</v>
      </c>
      <c r="U121" s="6">
        <v>10</v>
      </c>
    </row>
    <row r="122" spans="1:21" ht="17.45" customHeight="1">
      <c r="A122" s="7">
        <v>45892</v>
      </c>
      <c r="B122" s="3">
        <v>-27</v>
      </c>
      <c r="C122" s="4">
        <v>-10</v>
      </c>
      <c r="J122" s="3">
        <v>27</v>
      </c>
      <c r="K122" s="4">
        <v>10</v>
      </c>
      <c r="R122" s="3">
        <v>-1</v>
      </c>
      <c r="S122" s="4">
        <v>-5</v>
      </c>
      <c r="T122" s="3">
        <v>1</v>
      </c>
      <c r="U122" s="4">
        <v>5</v>
      </c>
    </row>
    <row r="123" spans="1:21" ht="17.45" customHeight="1">
      <c r="A123" s="7">
        <v>45892</v>
      </c>
      <c r="B123" s="5">
        <v>31</v>
      </c>
      <c r="C123" s="6">
        <v>10</v>
      </c>
      <c r="J123" s="5">
        <v>-33</v>
      </c>
      <c r="K123" s="6">
        <v>-10</v>
      </c>
      <c r="R123" s="5">
        <v>-5</v>
      </c>
      <c r="S123" s="6">
        <v>-5</v>
      </c>
      <c r="T123" s="5">
        <v>7</v>
      </c>
      <c r="U123" s="6">
        <v>5</v>
      </c>
    </row>
    <row r="124" spans="1:21" ht="17.45" customHeight="1">
      <c r="A124" s="7">
        <v>45892</v>
      </c>
      <c r="B124" s="3">
        <v>70</v>
      </c>
      <c r="C124" s="4">
        <v>10</v>
      </c>
      <c r="J124" s="3">
        <v>-37</v>
      </c>
      <c r="K124" s="4">
        <v>-10</v>
      </c>
      <c r="P124" s="3">
        <v>-26</v>
      </c>
      <c r="Q124" s="4">
        <v>-5</v>
      </c>
      <c r="R124" s="3">
        <v>-7</v>
      </c>
      <c r="S124" s="4">
        <v>5</v>
      </c>
    </row>
    <row r="125" spans="1:21" ht="17.45" customHeight="1">
      <c r="A125" s="7">
        <v>45892</v>
      </c>
      <c r="B125" s="5">
        <v>11</v>
      </c>
      <c r="C125" s="6">
        <v>5</v>
      </c>
      <c r="J125" s="5">
        <v>-41</v>
      </c>
      <c r="K125" s="6">
        <v>-10</v>
      </c>
      <c r="P125" s="5">
        <v>31</v>
      </c>
      <c r="Q125" s="6">
        <v>10</v>
      </c>
      <c r="R125" s="5">
        <v>-1</v>
      </c>
      <c r="S125" s="6">
        <v>-5</v>
      </c>
    </row>
    <row r="126" spans="1:21" ht="17.45" customHeight="1">
      <c r="A126" s="7">
        <v>45892</v>
      </c>
      <c r="B126" s="3">
        <v>-40</v>
      </c>
      <c r="C126" s="4">
        <v>-10</v>
      </c>
      <c r="J126" s="3">
        <v>6</v>
      </c>
      <c r="K126" s="4">
        <v>5</v>
      </c>
      <c r="P126" s="3">
        <v>42</v>
      </c>
      <c r="Q126" s="4">
        <v>10</v>
      </c>
      <c r="R126" s="3">
        <v>-8</v>
      </c>
      <c r="S126" s="4">
        <v>-5</v>
      </c>
    </row>
    <row r="127" spans="1:21" ht="17.45" customHeight="1">
      <c r="A127" s="7">
        <v>45892</v>
      </c>
      <c r="B127" s="5">
        <v>-26</v>
      </c>
      <c r="C127" s="6">
        <v>-10</v>
      </c>
      <c r="J127" s="5">
        <v>4</v>
      </c>
      <c r="K127" s="6">
        <v>5</v>
      </c>
      <c r="P127" s="5">
        <v>42</v>
      </c>
      <c r="Q127" s="6">
        <v>10</v>
      </c>
      <c r="R127" s="5">
        <v>-20</v>
      </c>
      <c r="S127" s="6">
        <v>-5</v>
      </c>
    </row>
    <row r="128" spans="1:21" ht="17.45" customHeight="1">
      <c r="A128" s="7">
        <v>45892</v>
      </c>
      <c r="B128" s="3">
        <v>-6</v>
      </c>
      <c r="C128" s="4">
        <v>-5</v>
      </c>
      <c r="J128" s="3">
        <v>-10</v>
      </c>
      <c r="K128" s="4">
        <v>-10</v>
      </c>
      <c r="P128" s="3">
        <v>16</v>
      </c>
      <c r="Q128" s="4">
        <v>10</v>
      </c>
      <c r="R128" s="3">
        <v>0</v>
      </c>
      <c r="S128" s="4">
        <v>5</v>
      </c>
    </row>
    <row r="129" spans="1:25" ht="17.45" customHeight="1">
      <c r="A129" s="7">
        <v>45892</v>
      </c>
      <c r="B129" s="5">
        <v>-3</v>
      </c>
      <c r="C129" s="6">
        <v>-5</v>
      </c>
      <c r="J129" s="5">
        <v>22</v>
      </c>
      <c r="K129" s="6">
        <v>10</v>
      </c>
      <c r="P129" s="5">
        <v>-19</v>
      </c>
      <c r="Q129" s="6">
        <v>-10</v>
      </c>
      <c r="R129" s="5">
        <v>0</v>
      </c>
      <c r="S129" s="6">
        <v>5</v>
      </c>
    </row>
    <row r="130" spans="1:25" ht="17.45" customHeight="1">
      <c r="A130" s="7">
        <v>45899</v>
      </c>
      <c r="J130" s="3">
        <v>64</v>
      </c>
      <c r="K130" s="4">
        <v>10</v>
      </c>
      <c r="R130" s="3">
        <v>-19</v>
      </c>
      <c r="S130" s="4">
        <v>-5</v>
      </c>
      <c r="T130" s="3">
        <v>-12</v>
      </c>
      <c r="U130" s="4">
        <v>5</v>
      </c>
      <c r="V130" s="3">
        <v>-33</v>
      </c>
      <c r="W130" s="4">
        <v>-10</v>
      </c>
      <c r="X130" s="36"/>
      <c r="Y130" s="36"/>
    </row>
    <row r="131" spans="1:25" ht="17.45" customHeight="1">
      <c r="A131" s="7">
        <v>45899</v>
      </c>
      <c r="J131" s="3">
        <v>-12</v>
      </c>
      <c r="K131" s="4">
        <v>-5</v>
      </c>
      <c r="R131" s="3">
        <v>-24</v>
      </c>
      <c r="S131" s="4">
        <v>-10</v>
      </c>
      <c r="T131" s="3">
        <v>-6</v>
      </c>
      <c r="U131" s="4">
        <v>5</v>
      </c>
      <c r="V131" s="3">
        <v>42</v>
      </c>
      <c r="W131" s="4">
        <v>10</v>
      </c>
      <c r="X131" s="36"/>
      <c r="Y131" s="36"/>
    </row>
    <row r="132" spans="1:25" ht="17.45" customHeight="1">
      <c r="A132" s="7">
        <v>45899</v>
      </c>
      <c r="J132" s="3">
        <v>-9</v>
      </c>
      <c r="K132" s="4">
        <v>-5</v>
      </c>
      <c r="R132" s="3">
        <v>-8</v>
      </c>
      <c r="S132" s="4">
        <v>5</v>
      </c>
      <c r="T132" s="3">
        <v>40</v>
      </c>
      <c r="U132" s="4">
        <v>10</v>
      </c>
      <c r="V132" s="3">
        <v>-23</v>
      </c>
      <c r="W132" s="4">
        <v>-10</v>
      </c>
      <c r="X132" s="36"/>
      <c r="Y132" s="36"/>
    </row>
    <row r="133" spans="1:25" ht="17.45" customHeight="1">
      <c r="A133" s="7">
        <v>45899</v>
      </c>
      <c r="J133" s="5">
        <v>23</v>
      </c>
      <c r="K133" s="6">
        <v>10</v>
      </c>
      <c r="R133" s="5">
        <v>-8</v>
      </c>
      <c r="S133" s="6">
        <v>-5</v>
      </c>
      <c r="T133" s="5">
        <v>-11</v>
      </c>
      <c r="U133" s="6">
        <v>-10</v>
      </c>
      <c r="V133" s="5">
        <v>-4</v>
      </c>
      <c r="W133" s="6">
        <v>5</v>
      </c>
      <c r="X133" s="36"/>
      <c r="Y133" s="36"/>
    </row>
    <row r="134" spans="1:25" ht="17.45" customHeight="1">
      <c r="A134" s="7">
        <v>45899</v>
      </c>
      <c r="J134" s="3">
        <v>-18</v>
      </c>
      <c r="K134" s="4">
        <v>-10</v>
      </c>
      <c r="R134" s="3">
        <v>1</v>
      </c>
      <c r="S134" s="4">
        <v>5</v>
      </c>
      <c r="T134" s="3">
        <v>30</v>
      </c>
      <c r="U134" s="4">
        <v>10</v>
      </c>
      <c r="V134" s="3">
        <v>-13</v>
      </c>
      <c r="W134" s="4">
        <v>-5</v>
      </c>
      <c r="X134" s="36"/>
      <c r="Y134" s="36"/>
    </row>
    <row r="135" spans="1:25" ht="17.45" customHeight="1">
      <c r="A135" s="7">
        <v>45923</v>
      </c>
      <c r="B135" s="3">
        <v>30</v>
      </c>
      <c r="C135" s="4">
        <v>10</v>
      </c>
      <c r="J135" s="3">
        <v>-14</v>
      </c>
      <c r="K135" s="4">
        <v>-5</v>
      </c>
      <c r="P135" s="3">
        <v>2</v>
      </c>
      <c r="Q135" s="4">
        <v>5</v>
      </c>
      <c r="R135" s="3">
        <v>-18</v>
      </c>
      <c r="S135" s="4">
        <v>-10</v>
      </c>
    </row>
    <row r="136" spans="1:25" ht="17.45" customHeight="1">
      <c r="A136" s="7">
        <v>45923</v>
      </c>
      <c r="B136" s="5">
        <v>-18</v>
      </c>
      <c r="C136" s="6">
        <v>-5</v>
      </c>
      <c r="J136" s="5">
        <v>-32</v>
      </c>
      <c r="K136" s="6">
        <v>-10</v>
      </c>
      <c r="P136" s="5">
        <v>66</v>
      </c>
      <c r="Q136" s="6">
        <v>10</v>
      </c>
      <c r="R136" s="5">
        <v>-16</v>
      </c>
      <c r="S136" s="6">
        <v>5</v>
      </c>
    </row>
    <row r="137" spans="1:25" ht="17.45" customHeight="1">
      <c r="A137" s="7">
        <v>45923</v>
      </c>
      <c r="B137" s="3">
        <v>-25</v>
      </c>
      <c r="C137" s="4">
        <v>-10</v>
      </c>
      <c r="J137" s="3">
        <v>-6</v>
      </c>
      <c r="K137" s="4">
        <v>5</v>
      </c>
      <c r="P137" s="3">
        <v>45</v>
      </c>
      <c r="Q137" s="4">
        <v>10</v>
      </c>
      <c r="R137" s="3">
        <v>-14</v>
      </c>
      <c r="S137" s="4">
        <v>-5</v>
      </c>
    </row>
    <row r="138" spans="1:25" ht="17.45" customHeight="1">
      <c r="A138" s="7">
        <v>45923</v>
      </c>
      <c r="B138" s="5">
        <v>-2</v>
      </c>
      <c r="C138" s="6">
        <v>-5</v>
      </c>
      <c r="J138" s="5">
        <v>28</v>
      </c>
      <c r="K138" s="6">
        <v>10</v>
      </c>
      <c r="P138" s="5">
        <v>6</v>
      </c>
      <c r="Q138" s="6">
        <v>5</v>
      </c>
      <c r="R138" s="5">
        <v>-32</v>
      </c>
      <c r="S138" s="6">
        <v>-10</v>
      </c>
    </row>
    <row r="139" spans="1:25" ht="17.45" customHeight="1">
      <c r="A139" s="7">
        <v>45923</v>
      </c>
      <c r="B139" s="3">
        <v>-22</v>
      </c>
      <c r="C139" s="4">
        <v>-10</v>
      </c>
      <c r="J139" s="3">
        <v>-10</v>
      </c>
      <c r="K139" s="4">
        <v>5</v>
      </c>
      <c r="P139" s="3">
        <v>49</v>
      </c>
      <c r="Q139" s="4">
        <v>10</v>
      </c>
      <c r="R139" s="3">
        <v>-17</v>
      </c>
      <c r="S139" s="4">
        <v>-5</v>
      </c>
    </row>
    <row r="140" spans="1:25" ht="17.45" customHeight="1">
      <c r="A140" s="7">
        <v>45923</v>
      </c>
      <c r="B140" s="5">
        <v>43</v>
      </c>
      <c r="C140" s="6">
        <v>10</v>
      </c>
      <c r="J140" s="5">
        <v>-4</v>
      </c>
      <c r="K140" s="6">
        <v>5</v>
      </c>
      <c r="P140" s="5">
        <v>-33</v>
      </c>
      <c r="Q140" s="6">
        <v>-10</v>
      </c>
      <c r="R140" s="5">
        <v>-6</v>
      </c>
      <c r="S140" s="6">
        <v>-5</v>
      </c>
    </row>
    <row r="141" spans="1:25" ht="17.45" customHeight="1">
      <c r="A141" s="7">
        <v>45923</v>
      </c>
      <c r="B141" s="3">
        <v>-14</v>
      </c>
      <c r="C141" s="4">
        <v>-5</v>
      </c>
      <c r="J141" s="3">
        <v>9</v>
      </c>
      <c r="K141" s="4">
        <v>5</v>
      </c>
      <c r="P141" s="3">
        <v>36</v>
      </c>
      <c r="Q141" s="4">
        <v>10</v>
      </c>
      <c r="R141" s="3">
        <v>-31</v>
      </c>
      <c r="S141" s="4">
        <v>-10</v>
      </c>
    </row>
    <row r="142" spans="1:25" ht="17.45" customHeight="1">
      <c r="A142" s="7">
        <v>45923</v>
      </c>
      <c r="B142" s="5">
        <v>3</v>
      </c>
      <c r="C142" s="6">
        <v>5</v>
      </c>
      <c r="J142" s="5">
        <v>-7</v>
      </c>
      <c r="K142" s="6">
        <v>-5</v>
      </c>
      <c r="P142" s="5">
        <v>-18</v>
      </c>
      <c r="Q142" s="6">
        <v>-10</v>
      </c>
      <c r="R142" s="5">
        <v>22</v>
      </c>
      <c r="S142" s="6">
        <v>10</v>
      </c>
    </row>
    <row r="143" spans="1:25" ht="17.45" customHeight="1">
      <c r="A143" s="7">
        <v>45923</v>
      </c>
      <c r="B143" s="3">
        <v>-19</v>
      </c>
      <c r="C143" s="4">
        <v>-10</v>
      </c>
      <c r="J143" s="3">
        <v>35</v>
      </c>
      <c r="K143" s="4">
        <v>10</v>
      </c>
      <c r="P143" s="3">
        <v>-17</v>
      </c>
      <c r="Q143" s="4">
        <v>-5</v>
      </c>
      <c r="R143" s="3">
        <v>1</v>
      </c>
      <c r="S143" s="4">
        <v>5</v>
      </c>
    </row>
    <row r="144" spans="1:25" ht="17.45" customHeight="1">
      <c r="A144" s="7">
        <v>45923</v>
      </c>
      <c r="B144" s="5">
        <v>-4</v>
      </c>
      <c r="C144" s="6">
        <v>-5</v>
      </c>
      <c r="J144" s="5">
        <v>0</v>
      </c>
      <c r="K144" s="6">
        <v>5</v>
      </c>
      <c r="P144" s="5">
        <v>32</v>
      </c>
      <c r="Q144" s="6">
        <v>10</v>
      </c>
      <c r="R144" s="5">
        <v>-28</v>
      </c>
      <c r="S144" s="6">
        <v>-10</v>
      </c>
    </row>
    <row r="145" spans="1:25" ht="17.45" customHeight="1">
      <c r="A145" s="7">
        <v>45923</v>
      </c>
      <c r="B145" s="3">
        <v>-27</v>
      </c>
      <c r="C145" s="4">
        <v>-10</v>
      </c>
      <c r="J145" s="3">
        <v>32</v>
      </c>
      <c r="K145" s="4">
        <v>10</v>
      </c>
      <c r="P145" s="3">
        <v>7</v>
      </c>
      <c r="Q145" s="4">
        <v>5</v>
      </c>
      <c r="R145" s="3">
        <v>-12</v>
      </c>
      <c r="S145" s="4">
        <v>-5</v>
      </c>
    </row>
    <row r="146" spans="1:25" ht="17.45" customHeight="1">
      <c r="A146" s="7">
        <v>45943</v>
      </c>
      <c r="B146" s="3">
        <v>-38</v>
      </c>
      <c r="C146" s="4">
        <v>-10</v>
      </c>
      <c r="J146" s="3">
        <v>44</v>
      </c>
      <c r="K146" s="4">
        <v>10</v>
      </c>
      <c r="P146" s="3">
        <v>14</v>
      </c>
      <c r="Q146" s="4">
        <v>5</v>
      </c>
      <c r="R146" s="3">
        <v>-20</v>
      </c>
      <c r="S146" s="4">
        <v>-5</v>
      </c>
    </row>
    <row r="147" spans="1:25" ht="17.45" customHeight="1">
      <c r="A147" s="7">
        <v>45943</v>
      </c>
      <c r="B147" s="5">
        <v>4</v>
      </c>
      <c r="C147" s="6">
        <v>5</v>
      </c>
      <c r="J147" s="5">
        <v>-19</v>
      </c>
      <c r="K147" s="6">
        <v>-10</v>
      </c>
      <c r="P147" s="5">
        <v>-6</v>
      </c>
      <c r="Q147" s="6">
        <v>-5</v>
      </c>
      <c r="R147" s="5">
        <v>21</v>
      </c>
      <c r="S147" s="6">
        <v>10</v>
      </c>
    </row>
    <row r="148" spans="1:25" ht="17.45" customHeight="1">
      <c r="A148" s="7">
        <v>45943</v>
      </c>
      <c r="B148" s="3">
        <v>-32</v>
      </c>
      <c r="C148" s="4">
        <v>-10</v>
      </c>
      <c r="J148" s="3">
        <v>4</v>
      </c>
      <c r="K148" s="4">
        <v>5</v>
      </c>
      <c r="P148" s="3">
        <v>48</v>
      </c>
      <c r="Q148" s="4">
        <v>10</v>
      </c>
      <c r="R148" s="3">
        <v>-20</v>
      </c>
      <c r="S148" s="4">
        <v>-5</v>
      </c>
    </row>
    <row r="149" spans="1:25" ht="17.45" customHeight="1">
      <c r="A149" s="7">
        <v>45943</v>
      </c>
      <c r="B149" s="5">
        <v>-26</v>
      </c>
      <c r="C149" s="6">
        <v>-10</v>
      </c>
      <c r="J149" s="5">
        <v>33</v>
      </c>
      <c r="K149" s="6">
        <v>10</v>
      </c>
      <c r="P149" s="5">
        <v>-24</v>
      </c>
      <c r="Q149" s="6">
        <v>-5</v>
      </c>
      <c r="R149" s="5">
        <v>17</v>
      </c>
      <c r="S149" s="6">
        <v>5</v>
      </c>
    </row>
    <row r="150" spans="1:25" ht="17.45" customHeight="1">
      <c r="A150" s="7">
        <v>45943</v>
      </c>
      <c r="B150" s="3">
        <v>5</v>
      </c>
      <c r="C150" s="4">
        <v>5</v>
      </c>
      <c r="J150" s="3">
        <v>21</v>
      </c>
      <c r="K150" s="4">
        <v>10</v>
      </c>
      <c r="P150" s="3">
        <v>-28</v>
      </c>
      <c r="Q150" s="4">
        <v>-10</v>
      </c>
      <c r="R150" s="3">
        <v>2</v>
      </c>
      <c r="S150" s="4">
        <v>-5</v>
      </c>
    </row>
    <row r="151" spans="1:25" ht="17.45" customHeight="1">
      <c r="A151" s="7">
        <v>45943</v>
      </c>
      <c r="B151" s="5">
        <v>5</v>
      </c>
      <c r="C151" s="6">
        <v>5</v>
      </c>
      <c r="J151" s="5">
        <v>23</v>
      </c>
      <c r="K151" s="6">
        <v>10</v>
      </c>
      <c r="P151" s="5">
        <v>-15</v>
      </c>
      <c r="Q151" s="6">
        <v>-10</v>
      </c>
      <c r="R151" s="5">
        <v>-13</v>
      </c>
      <c r="S151" s="6">
        <v>-5</v>
      </c>
    </row>
    <row r="152" spans="1:25" ht="17.45" customHeight="1">
      <c r="A152" s="7">
        <v>45943</v>
      </c>
      <c r="B152" s="3">
        <v>-2</v>
      </c>
      <c r="C152" s="4">
        <v>5</v>
      </c>
      <c r="J152" s="3">
        <v>-4</v>
      </c>
      <c r="K152" s="4">
        <v>-5</v>
      </c>
      <c r="P152" s="3">
        <v>20</v>
      </c>
      <c r="Q152" s="4">
        <v>10</v>
      </c>
      <c r="R152" s="3">
        <v>-14</v>
      </c>
      <c r="S152" s="4">
        <v>-10</v>
      </c>
    </row>
    <row r="153" spans="1:25" ht="17.45" customHeight="1">
      <c r="A153" s="7">
        <v>45943</v>
      </c>
      <c r="B153" s="5">
        <v>7</v>
      </c>
      <c r="C153" s="6">
        <v>5</v>
      </c>
      <c r="J153" s="5">
        <v>-26</v>
      </c>
      <c r="K153" s="6">
        <v>-5</v>
      </c>
      <c r="P153" s="5">
        <v>-27</v>
      </c>
      <c r="Q153" s="6">
        <v>-10</v>
      </c>
      <c r="R153" s="5">
        <v>46</v>
      </c>
      <c r="S153" s="6">
        <v>10</v>
      </c>
    </row>
    <row r="154" spans="1:25" ht="17.45" customHeight="1">
      <c r="A154" s="7">
        <v>45943</v>
      </c>
      <c r="B154" s="3">
        <v>-13</v>
      </c>
      <c r="C154" s="4">
        <v>-5</v>
      </c>
      <c r="J154" s="3">
        <v>25</v>
      </c>
      <c r="K154" s="4">
        <v>10</v>
      </c>
      <c r="P154" s="3">
        <v>5</v>
      </c>
      <c r="Q154" s="4">
        <v>5</v>
      </c>
      <c r="R154" s="3">
        <v>-17</v>
      </c>
      <c r="S154" s="4">
        <v>-10</v>
      </c>
    </row>
    <row r="155" spans="1:25" ht="17.45" customHeight="1">
      <c r="A155" s="7">
        <v>45955</v>
      </c>
      <c r="B155" s="3">
        <v>7</v>
      </c>
      <c r="C155" s="4">
        <v>5</v>
      </c>
      <c r="J155" s="3">
        <v>-2</v>
      </c>
      <c r="K155" s="4">
        <v>-5</v>
      </c>
      <c r="N155" s="3">
        <v>-36</v>
      </c>
      <c r="O155" s="4">
        <v>-10</v>
      </c>
      <c r="V155" s="3">
        <v>31</v>
      </c>
      <c r="W155" s="4">
        <v>10</v>
      </c>
      <c r="X155" s="36"/>
      <c r="Y155" s="36"/>
    </row>
    <row r="156" spans="1:25" ht="17.45" customHeight="1">
      <c r="A156" s="7">
        <v>45955</v>
      </c>
      <c r="B156" s="5">
        <v>-2</v>
      </c>
      <c r="C156" s="6">
        <v>5</v>
      </c>
      <c r="J156" s="5">
        <v>-12</v>
      </c>
      <c r="K156" s="6">
        <v>-10</v>
      </c>
      <c r="N156" s="5">
        <v>24</v>
      </c>
      <c r="O156" s="6">
        <v>10</v>
      </c>
      <c r="V156" s="5">
        <v>-10</v>
      </c>
      <c r="W156" s="6">
        <v>-5</v>
      </c>
      <c r="X156" s="36"/>
      <c r="Y156" s="36"/>
    </row>
    <row r="157" spans="1:25" ht="17.45" customHeight="1">
      <c r="A157" s="7">
        <v>45955</v>
      </c>
      <c r="B157" s="3">
        <v>1</v>
      </c>
      <c r="C157" s="4">
        <v>5</v>
      </c>
      <c r="J157" s="3">
        <v>-9</v>
      </c>
      <c r="K157" s="4">
        <v>-10</v>
      </c>
      <c r="N157" s="3">
        <v>-3</v>
      </c>
      <c r="O157" s="4">
        <v>-5</v>
      </c>
      <c r="V157" s="3">
        <v>11</v>
      </c>
      <c r="W157" s="4">
        <v>10</v>
      </c>
      <c r="X157" s="36"/>
      <c r="Y157" s="36"/>
    </row>
    <row r="158" spans="1:25" ht="17.45" customHeight="1">
      <c r="A158" s="7">
        <v>45955</v>
      </c>
      <c r="B158" s="5">
        <v>-17</v>
      </c>
      <c r="C158" s="6">
        <v>-10</v>
      </c>
      <c r="J158" s="5">
        <v>-10</v>
      </c>
      <c r="K158" s="6">
        <v>-5</v>
      </c>
      <c r="N158" s="5">
        <v>22</v>
      </c>
      <c r="O158" s="6">
        <v>10</v>
      </c>
      <c r="V158" s="5">
        <v>5</v>
      </c>
      <c r="W158" s="6">
        <v>5</v>
      </c>
      <c r="X158" s="36"/>
      <c r="Y158" s="36"/>
    </row>
    <row r="159" spans="1:25" ht="17.45" customHeight="1">
      <c r="A159" s="7">
        <v>45955</v>
      </c>
      <c r="B159" s="3">
        <v>-8</v>
      </c>
      <c r="C159" s="4">
        <v>-5</v>
      </c>
      <c r="J159" s="3">
        <v>-6</v>
      </c>
      <c r="K159" s="4">
        <v>5</v>
      </c>
      <c r="N159" s="3">
        <v>-31</v>
      </c>
      <c r="O159" s="4">
        <v>-10</v>
      </c>
      <c r="V159" s="3">
        <v>45</v>
      </c>
      <c r="W159" s="4">
        <v>10</v>
      </c>
      <c r="X159" s="36"/>
      <c r="Y159" s="36"/>
    </row>
    <row r="160" spans="1:25" ht="17.45" customHeight="1">
      <c r="A160" s="7">
        <v>45955</v>
      </c>
      <c r="B160" s="5">
        <v>2</v>
      </c>
      <c r="C160" s="6">
        <v>5</v>
      </c>
      <c r="J160" s="5">
        <v>26</v>
      </c>
      <c r="K160" s="6">
        <v>10</v>
      </c>
      <c r="N160" s="5">
        <v>-26</v>
      </c>
      <c r="O160" s="6">
        <v>-10</v>
      </c>
      <c r="V160" s="5">
        <v>-2</v>
      </c>
      <c r="W160" s="6">
        <v>-5</v>
      </c>
      <c r="X160" s="36"/>
      <c r="Y160" s="36"/>
    </row>
    <row r="161" spans="1:25" ht="17.45" customHeight="1">
      <c r="A161" s="7">
        <v>45955</v>
      </c>
      <c r="B161" s="3">
        <v>-24</v>
      </c>
      <c r="C161" s="4">
        <v>-10</v>
      </c>
      <c r="J161" s="3">
        <v>33</v>
      </c>
      <c r="K161" s="4">
        <v>10</v>
      </c>
      <c r="N161" s="3">
        <v>2</v>
      </c>
      <c r="O161" s="4">
        <v>5</v>
      </c>
      <c r="V161" s="3">
        <v>-11</v>
      </c>
      <c r="W161" s="4">
        <v>-5</v>
      </c>
      <c r="X161" s="36"/>
      <c r="Y161" s="36"/>
    </row>
    <row r="162" spans="1:25" ht="17.45" customHeight="1">
      <c r="A162" s="7">
        <v>45955</v>
      </c>
      <c r="B162" s="5">
        <v>35</v>
      </c>
      <c r="C162" s="6">
        <v>10</v>
      </c>
      <c r="J162" s="5">
        <v>8</v>
      </c>
      <c r="K162" s="6">
        <v>5</v>
      </c>
      <c r="N162" s="5">
        <v>-32</v>
      </c>
      <c r="O162" s="6">
        <v>-10</v>
      </c>
      <c r="V162" s="5">
        <v>-11</v>
      </c>
      <c r="W162" s="6">
        <v>-5</v>
      </c>
      <c r="X162" s="36"/>
      <c r="Y162" s="36"/>
    </row>
    <row r="163" spans="1:25" ht="17.45" customHeight="1">
      <c r="A163" s="7">
        <v>45955</v>
      </c>
      <c r="B163" s="3">
        <v>33</v>
      </c>
      <c r="C163" s="4">
        <v>10</v>
      </c>
      <c r="J163" s="3">
        <v>-6</v>
      </c>
      <c r="K163" s="4">
        <v>5</v>
      </c>
      <c r="N163" s="3">
        <v>-17</v>
      </c>
      <c r="O163" s="4">
        <v>-10</v>
      </c>
      <c r="V163" s="3">
        <v>-10</v>
      </c>
      <c r="W163" s="4">
        <v>-5</v>
      </c>
      <c r="X163" s="36"/>
      <c r="Y163" s="36"/>
    </row>
    <row r="164" spans="1:25" ht="17.45" customHeight="1">
      <c r="A164" s="7">
        <v>45955</v>
      </c>
      <c r="B164" s="5">
        <v>5</v>
      </c>
      <c r="C164" s="6">
        <v>5</v>
      </c>
      <c r="J164" s="5">
        <v>4</v>
      </c>
      <c r="K164" s="6">
        <v>-5</v>
      </c>
      <c r="N164" s="5">
        <v>26</v>
      </c>
      <c r="O164" s="6">
        <v>10</v>
      </c>
      <c r="V164" s="5">
        <v>-35</v>
      </c>
      <c r="W164" s="6">
        <v>-10</v>
      </c>
      <c r="X164" s="36"/>
      <c r="Y164" s="36"/>
    </row>
    <row r="165" spans="1:25" ht="17.45" customHeight="1">
      <c r="A165" s="7">
        <v>45962</v>
      </c>
      <c r="B165" s="5">
        <v>-16</v>
      </c>
      <c r="C165" s="6">
        <v>-10</v>
      </c>
      <c r="J165" s="5">
        <v>0</v>
      </c>
      <c r="K165" s="6">
        <v>5</v>
      </c>
      <c r="V165" s="5">
        <v>19</v>
      </c>
      <c r="W165" s="6">
        <v>10</v>
      </c>
      <c r="X165" s="5">
        <v>-3</v>
      </c>
      <c r="Y165" s="6">
        <v>-5</v>
      </c>
    </row>
    <row r="166" spans="1:25" ht="17.45" customHeight="1">
      <c r="A166" s="7">
        <v>45962</v>
      </c>
      <c r="B166" s="3">
        <v>28</v>
      </c>
      <c r="C166" s="4">
        <v>10</v>
      </c>
      <c r="J166" s="3">
        <v>10</v>
      </c>
      <c r="K166" s="4">
        <v>5</v>
      </c>
      <c r="V166" s="3">
        <v>-16</v>
      </c>
      <c r="W166" s="4">
        <v>-5</v>
      </c>
      <c r="X166" s="3">
        <v>-22</v>
      </c>
      <c r="Y166" s="4">
        <v>-10</v>
      </c>
    </row>
    <row r="167" spans="1:25" ht="17.45" customHeight="1">
      <c r="A167" s="7">
        <v>45962</v>
      </c>
      <c r="B167" s="5">
        <v>-14</v>
      </c>
      <c r="C167" s="6">
        <v>5</v>
      </c>
      <c r="J167" s="5">
        <v>69</v>
      </c>
      <c r="K167" s="6">
        <v>10</v>
      </c>
      <c r="V167" s="5">
        <v>-20</v>
      </c>
      <c r="W167" s="6">
        <v>-5</v>
      </c>
      <c r="X167" s="5">
        <v>-35</v>
      </c>
      <c r="Y167" s="6">
        <v>-10</v>
      </c>
    </row>
    <row r="168" spans="1:25" ht="17.45" customHeight="1">
      <c r="A168" s="7">
        <v>45962</v>
      </c>
      <c r="B168" s="3">
        <v>-10</v>
      </c>
      <c r="C168" s="4">
        <v>-10</v>
      </c>
      <c r="J168" s="3">
        <v>-1</v>
      </c>
      <c r="K168" s="4">
        <v>5</v>
      </c>
      <c r="V168" s="3">
        <v>-8</v>
      </c>
      <c r="W168" s="4">
        <v>-5</v>
      </c>
      <c r="X168" s="3">
        <v>19</v>
      </c>
      <c r="Y168" s="4">
        <v>10</v>
      </c>
    </row>
    <row r="169" spans="1:25" ht="17.45" customHeight="1">
      <c r="A169" s="7">
        <v>45962</v>
      </c>
      <c r="B169" s="5">
        <v>-15</v>
      </c>
      <c r="C169" s="6">
        <v>-5</v>
      </c>
      <c r="J169" s="5">
        <v>9</v>
      </c>
      <c r="K169" s="6">
        <v>5</v>
      </c>
      <c r="V169" s="5">
        <v>-30</v>
      </c>
      <c r="W169" s="6">
        <v>-10</v>
      </c>
      <c r="X169" s="5">
        <v>36</v>
      </c>
      <c r="Y169" s="6">
        <v>10</v>
      </c>
    </row>
    <row r="170" spans="1:25" ht="17.45" customHeight="1">
      <c r="A170" s="7">
        <v>45962</v>
      </c>
      <c r="B170" s="5">
        <v>-2</v>
      </c>
      <c r="C170" s="6">
        <v>-5</v>
      </c>
      <c r="J170" s="5">
        <v>21</v>
      </c>
      <c r="K170" s="6">
        <v>10</v>
      </c>
      <c r="V170" s="5">
        <v>-19</v>
      </c>
      <c r="W170" s="6">
        <v>-10</v>
      </c>
      <c r="X170" s="5">
        <v>0</v>
      </c>
      <c r="Y170" s="6">
        <v>5</v>
      </c>
    </row>
    <row r="171" spans="1:25" ht="17.45" customHeight="1">
      <c r="A171" s="7">
        <v>45962</v>
      </c>
      <c r="B171" s="3">
        <v>-13</v>
      </c>
      <c r="C171" s="4">
        <v>-5</v>
      </c>
      <c r="J171" s="3">
        <v>-21</v>
      </c>
      <c r="K171" s="4">
        <v>-10</v>
      </c>
      <c r="V171" s="3">
        <v>-6</v>
      </c>
      <c r="W171" s="4">
        <v>5</v>
      </c>
      <c r="X171" s="3">
        <v>40</v>
      </c>
      <c r="Y171" s="4">
        <v>10</v>
      </c>
    </row>
    <row r="172" spans="1:25" ht="17.45" customHeight="1">
      <c r="A172" s="7">
        <v>45962</v>
      </c>
      <c r="B172" s="5">
        <v>-35</v>
      </c>
      <c r="C172" s="6">
        <v>-10</v>
      </c>
      <c r="J172" s="5">
        <v>1</v>
      </c>
      <c r="K172" s="6">
        <v>-5</v>
      </c>
      <c r="V172" s="5">
        <v>9</v>
      </c>
      <c r="W172" s="6">
        <v>5</v>
      </c>
      <c r="X172" s="5">
        <v>25</v>
      </c>
      <c r="Y172" s="6">
        <v>10</v>
      </c>
    </row>
    <row r="173" spans="1:25" ht="17.45" customHeight="1">
      <c r="A173" s="7">
        <v>45962</v>
      </c>
      <c r="B173" s="3">
        <v>47</v>
      </c>
      <c r="C173" s="4">
        <v>10</v>
      </c>
      <c r="J173" s="3">
        <v>-15</v>
      </c>
      <c r="K173" s="4">
        <v>-5</v>
      </c>
      <c r="V173" s="3">
        <v>-30</v>
      </c>
      <c r="W173" s="4">
        <v>-10</v>
      </c>
      <c r="X173" s="3">
        <v>-2</v>
      </c>
      <c r="Y173" s="4">
        <v>5</v>
      </c>
    </row>
    <row r="174" spans="1:25" ht="17.45" customHeight="1">
      <c r="A174" s="7">
        <v>45962</v>
      </c>
      <c r="B174" s="5">
        <v>-30</v>
      </c>
      <c r="C174" s="6">
        <v>-10</v>
      </c>
      <c r="J174" s="5">
        <v>-14</v>
      </c>
      <c r="K174" s="6">
        <v>-5</v>
      </c>
      <c r="V174" s="5">
        <v>6</v>
      </c>
      <c r="W174" s="6">
        <v>5</v>
      </c>
      <c r="X174" s="5">
        <v>38</v>
      </c>
      <c r="Y174" s="6">
        <v>10</v>
      </c>
    </row>
    <row r="175" spans="1:25" ht="17.45" customHeight="1">
      <c r="A175" s="7">
        <v>45962</v>
      </c>
      <c r="B175" s="3">
        <v>-7</v>
      </c>
      <c r="C175" s="4">
        <v>5</v>
      </c>
      <c r="J175" s="3">
        <v>-35</v>
      </c>
      <c r="K175" s="4">
        <v>-10</v>
      </c>
      <c r="V175" s="3">
        <v>57</v>
      </c>
      <c r="W175" s="4">
        <v>10</v>
      </c>
      <c r="X175" s="3">
        <v>-15</v>
      </c>
      <c r="Y175" s="4">
        <v>-5</v>
      </c>
    </row>
    <row r="176" spans="1:25" ht="17.45" customHeight="1">
      <c r="A176" s="7">
        <v>45962</v>
      </c>
      <c r="B176" s="5">
        <v>-27</v>
      </c>
      <c r="C176" s="6">
        <v>-10</v>
      </c>
      <c r="J176" s="5">
        <v>2</v>
      </c>
      <c r="K176" s="6">
        <v>5</v>
      </c>
      <c r="V176" s="5">
        <v>-1</v>
      </c>
      <c r="W176" s="6">
        <v>-5</v>
      </c>
      <c r="X176" s="5">
        <v>26</v>
      </c>
      <c r="Y176" s="6">
        <v>10</v>
      </c>
    </row>
    <row r="177" spans="1:23" ht="17.45" customHeight="1">
      <c r="A177" s="7">
        <v>45985</v>
      </c>
      <c r="J177" s="3">
        <v>-12</v>
      </c>
      <c r="K177" s="4">
        <v>-5</v>
      </c>
      <c r="P177" s="3">
        <v>31</v>
      </c>
      <c r="Q177" s="4">
        <v>10</v>
      </c>
      <c r="R177" s="3">
        <v>8</v>
      </c>
      <c r="S177" s="4">
        <v>5</v>
      </c>
      <c r="V177" s="3">
        <v>-27</v>
      </c>
      <c r="W177" s="4">
        <v>-10</v>
      </c>
    </row>
    <row r="178" spans="1:23" ht="17.45" customHeight="1">
      <c r="A178" s="7">
        <v>45985</v>
      </c>
      <c r="J178" s="5">
        <v>-7</v>
      </c>
      <c r="K178" s="6">
        <v>-5</v>
      </c>
      <c r="P178" s="5">
        <v>-33</v>
      </c>
      <c r="Q178" s="6">
        <v>-10</v>
      </c>
      <c r="R178" s="5">
        <v>44</v>
      </c>
      <c r="S178" s="6">
        <v>10</v>
      </c>
      <c r="V178" s="5">
        <v>-4</v>
      </c>
      <c r="W178" s="6">
        <v>5</v>
      </c>
    </row>
    <row r="179" spans="1:23" ht="17.45" customHeight="1">
      <c r="A179" s="7">
        <v>45985</v>
      </c>
      <c r="J179" s="3">
        <v>-9</v>
      </c>
      <c r="K179" s="4">
        <v>-10</v>
      </c>
      <c r="P179" s="3">
        <v>-9</v>
      </c>
      <c r="Q179" s="4">
        <v>-5</v>
      </c>
      <c r="R179" s="3">
        <v>-4</v>
      </c>
      <c r="S179" s="4">
        <v>5</v>
      </c>
      <c r="V179" s="3">
        <v>22</v>
      </c>
      <c r="W179" s="4">
        <v>10</v>
      </c>
    </row>
    <row r="180" spans="1:23" ht="17.45" customHeight="1">
      <c r="A180" s="7">
        <v>45985</v>
      </c>
      <c r="J180" s="5">
        <v>42</v>
      </c>
      <c r="K180" s="6">
        <v>10</v>
      </c>
      <c r="P180" s="5">
        <v>-14</v>
      </c>
      <c r="Q180" s="6">
        <v>-5</v>
      </c>
      <c r="R180" s="5">
        <v>-36</v>
      </c>
      <c r="S180" s="6">
        <v>-10</v>
      </c>
      <c r="V180" s="5">
        <v>8</v>
      </c>
      <c r="W180" s="6">
        <v>5</v>
      </c>
    </row>
    <row r="181" spans="1:23" ht="17.45" customHeight="1">
      <c r="A181" s="7">
        <v>45985</v>
      </c>
      <c r="J181" s="3">
        <v>-35</v>
      </c>
      <c r="K181" s="4">
        <v>-10</v>
      </c>
      <c r="P181" s="3">
        <v>38</v>
      </c>
      <c r="Q181" s="4">
        <v>10</v>
      </c>
      <c r="R181" s="3">
        <v>-3</v>
      </c>
      <c r="S181" s="4">
        <v>-5</v>
      </c>
      <c r="V181" s="3">
        <v>0</v>
      </c>
      <c r="W181" s="4">
        <v>5</v>
      </c>
    </row>
    <row r="182" spans="1:23" ht="17.45" customHeight="1">
      <c r="A182" s="7">
        <v>45985</v>
      </c>
      <c r="J182" s="5">
        <v>-26</v>
      </c>
      <c r="K182" s="6">
        <v>-10</v>
      </c>
      <c r="P182" s="5">
        <v>2</v>
      </c>
      <c r="Q182" s="6">
        <v>-5</v>
      </c>
      <c r="R182" s="5">
        <v>2</v>
      </c>
      <c r="S182" s="6">
        <v>5</v>
      </c>
      <c r="V182" s="5">
        <v>22</v>
      </c>
      <c r="W182" s="6">
        <v>10</v>
      </c>
    </row>
    <row r="183" spans="1:23" ht="17.45" customHeight="1">
      <c r="A183" s="7">
        <v>45985</v>
      </c>
      <c r="J183" s="3">
        <v>-24</v>
      </c>
      <c r="K183" s="4">
        <v>-10</v>
      </c>
      <c r="P183" s="3">
        <v>-3</v>
      </c>
      <c r="Q183" s="4">
        <v>-5</v>
      </c>
      <c r="R183" s="3">
        <v>4</v>
      </c>
      <c r="S183" s="4">
        <v>5</v>
      </c>
      <c r="V183" s="3">
        <v>23</v>
      </c>
      <c r="W183" s="4">
        <v>10</v>
      </c>
    </row>
    <row r="184" spans="1:23" ht="17.45" customHeight="1">
      <c r="A184" s="7">
        <v>45985</v>
      </c>
      <c r="J184" s="5">
        <v>20</v>
      </c>
      <c r="K184" s="6">
        <v>10</v>
      </c>
      <c r="P184" s="5">
        <v>-1</v>
      </c>
      <c r="Q184" s="6">
        <v>-5</v>
      </c>
      <c r="R184" s="5">
        <v>-20</v>
      </c>
      <c r="S184" s="6">
        <v>-10</v>
      </c>
      <c r="V184" s="5">
        <v>1</v>
      </c>
      <c r="W184" s="6">
        <v>5</v>
      </c>
    </row>
    <row r="185" spans="1:23" ht="17.45" customHeight="1">
      <c r="A185" s="7">
        <v>46380</v>
      </c>
      <c r="B185" s="3">
        <v>0</v>
      </c>
      <c r="C185" s="4">
        <v>5</v>
      </c>
      <c r="J185" s="3">
        <v>-34</v>
      </c>
      <c r="K185" s="4">
        <v>-10</v>
      </c>
      <c r="P185" s="3">
        <v>41</v>
      </c>
      <c r="Q185" s="4">
        <v>10</v>
      </c>
    </row>
    <row r="186" spans="1:23" ht="17.45" customHeight="1">
      <c r="A186" s="7">
        <v>46380</v>
      </c>
      <c r="B186" s="5">
        <v>-28</v>
      </c>
      <c r="C186" s="6">
        <v>-5</v>
      </c>
      <c r="J186" s="5">
        <v>76</v>
      </c>
      <c r="K186" s="6">
        <v>10</v>
      </c>
      <c r="P186" s="5">
        <v>1</v>
      </c>
      <c r="Q186" s="6">
        <v>5</v>
      </c>
    </row>
    <row r="187" spans="1:23" ht="17.45" customHeight="1">
      <c r="A187" s="7">
        <v>46380</v>
      </c>
      <c r="B187" s="3">
        <v>2</v>
      </c>
      <c r="C187" s="4">
        <v>5</v>
      </c>
      <c r="J187" s="3">
        <v>21</v>
      </c>
      <c r="K187" s="4">
        <v>10</v>
      </c>
      <c r="P187" s="3">
        <v>-19</v>
      </c>
      <c r="Q187" s="4">
        <v>-10</v>
      </c>
    </row>
    <row r="188" spans="1:23" ht="17.45" customHeight="1">
      <c r="A188" s="7">
        <v>46380</v>
      </c>
      <c r="B188" s="5">
        <v>-25</v>
      </c>
      <c r="C188" s="6">
        <v>-10</v>
      </c>
      <c r="J188" s="5">
        <v>-3</v>
      </c>
      <c r="K188" s="6">
        <v>5</v>
      </c>
      <c r="P188" s="5">
        <v>43</v>
      </c>
      <c r="Q188" s="6">
        <v>10</v>
      </c>
    </row>
    <row r="189" spans="1:23" ht="17.45" customHeight="1">
      <c r="A189" s="7">
        <v>46380</v>
      </c>
      <c r="B189" s="3">
        <v>51</v>
      </c>
      <c r="C189" s="4">
        <v>10</v>
      </c>
      <c r="J189" s="3">
        <v>-9</v>
      </c>
      <c r="K189" s="4">
        <v>-5</v>
      </c>
      <c r="P189" s="3">
        <v>-33</v>
      </c>
      <c r="Q189" s="4">
        <v>-10</v>
      </c>
    </row>
    <row r="190" spans="1:23" ht="17.45" customHeight="1">
      <c r="A190" s="7">
        <v>46380</v>
      </c>
      <c r="B190" s="5">
        <v>-2</v>
      </c>
      <c r="C190" s="6">
        <v>5</v>
      </c>
      <c r="J190" s="5">
        <v>-14</v>
      </c>
      <c r="K190" s="6">
        <v>-10</v>
      </c>
      <c r="P190" s="5">
        <v>-10</v>
      </c>
      <c r="Q190" s="6">
        <v>-5</v>
      </c>
    </row>
    <row r="191" spans="1:23" ht="17.45" customHeight="1">
      <c r="A191" s="7">
        <v>46380</v>
      </c>
      <c r="B191" s="3">
        <v>-20</v>
      </c>
      <c r="C191" s="4">
        <v>-10</v>
      </c>
      <c r="J191" s="3">
        <v>-11</v>
      </c>
      <c r="K191" s="4">
        <v>-5</v>
      </c>
      <c r="P191" s="3">
        <v>30</v>
      </c>
      <c r="Q191" s="4">
        <v>10</v>
      </c>
    </row>
  </sheetData>
  <mergeCells count="36">
    <mergeCell ref="AU7:AV7"/>
    <mergeCell ref="AO1:AP1"/>
    <mergeCell ref="AQ1:AR1"/>
    <mergeCell ref="AS1:AT1"/>
    <mergeCell ref="AO7:AP7"/>
    <mergeCell ref="AQ7:AR7"/>
    <mergeCell ref="AS7:AT7"/>
    <mergeCell ref="AC7:AD7"/>
    <mergeCell ref="AE7:AF7"/>
    <mergeCell ref="AG7:AH7"/>
    <mergeCell ref="AI7:AJ7"/>
    <mergeCell ref="AY1:AZ1"/>
    <mergeCell ref="AY7:AZ7"/>
    <mergeCell ref="AE1:AF1"/>
    <mergeCell ref="AM1:AN1"/>
    <mergeCell ref="AM7:AN7"/>
    <mergeCell ref="AK1:AL1"/>
    <mergeCell ref="AK7:AL7"/>
    <mergeCell ref="AW1:AX1"/>
    <mergeCell ref="AG1:AH1"/>
    <mergeCell ref="AI1:AJ1"/>
    <mergeCell ref="AW7:AX7"/>
    <mergeCell ref="AU1:AV1"/>
    <mergeCell ref="B1:C1"/>
    <mergeCell ref="D1:E1"/>
    <mergeCell ref="F1:G1"/>
    <mergeCell ref="H1:I1"/>
    <mergeCell ref="AC1:AD1"/>
    <mergeCell ref="J1:K1"/>
    <mergeCell ref="N1:O1"/>
    <mergeCell ref="L1:M1"/>
    <mergeCell ref="P1:Q1"/>
    <mergeCell ref="R1:S1"/>
    <mergeCell ref="T1:U1"/>
    <mergeCell ref="V1:W1"/>
    <mergeCell ref="X1:Y1"/>
  </mergeCells>
  <phoneticPr fontId="3"/>
  <pageMargins left="0.7" right="0.7" top="0.75" bottom="0.75" header="0.3" footer="0.3"/>
  <pageSetup paperSize="9" orientation="portrait" horizontalDpi="0" verticalDpi="0" r:id="rId1"/>
  <headerFooter>
    <oddFooter>&amp;L_x000D_&amp;1#&amp;"Calibri"&amp;10&amp;K000000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CBE1-90D6-420F-9A2A-E81D425CFD98}">
  <dimension ref="A1"/>
  <sheetViews>
    <sheetView workbookViewId="0"/>
  </sheetViews>
  <sheetFormatPr defaultRowHeight="12.6"/>
  <sheetData/>
  <phoneticPr fontId="2"/>
  <pageMargins left="0.7" right="0.7" top="0.75" bottom="0.75" header="0.3" footer="0.3"/>
  <headerFooter>
    <oddFooter>&amp;L_x000D_&amp;1#&amp;"Calibri"&amp;10&amp;K000000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910C-9292-4D67-8297-088645631448}">
  <dimension ref="A1"/>
  <sheetViews>
    <sheetView workbookViewId="0"/>
  </sheetViews>
  <sheetFormatPr defaultRowHeight="12.6"/>
  <sheetData/>
  <phoneticPr fontId="2"/>
  <pageMargins left="0.7" right="0.7" top="0.75" bottom="0.75" header="0.3" footer="0.3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Hasegawa Takashi</dc:creator>
  <cp:keywords/>
  <dc:description/>
  <cp:lastModifiedBy>Shiohara Yu</cp:lastModifiedBy>
  <cp:revision/>
  <dcterms:created xsi:type="dcterms:W3CDTF">2023-02-26T22:37:59Z</dcterms:created>
  <dcterms:modified xsi:type="dcterms:W3CDTF">2026-01-14T07:26:15Z</dcterms:modified>
  <cp:category/>
  <cp:contentStatus/>
</cp:coreProperties>
</file>